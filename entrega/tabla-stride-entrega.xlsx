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16663a77694e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_Ejecutivo" sheetId="1" r:id="Rfa4fb4f7303c42fe"/>
    <x:sheet xmlns:r="http://schemas.openxmlformats.org/officeDocument/2006/relationships" name="STRIDE_Airsoft" sheetId="2" r:id="Re1f9379895cd49ed"/>
    <x:sheet xmlns:r="http://schemas.openxmlformats.org/officeDocument/2006/relationships" name="Ejemplo_STRIDE" sheetId="3" r:id="Rf8c6d05296124dfd"/>
    <x:sheet xmlns:r="http://schemas.openxmlformats.org/officeDocument/2006/relationships" name="Criterios_Riesgo" sheetId="4" r:id="R50029b35e6484d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2">
    <x:font>
      <x:sz val="11"/>
      <x:color theme="1"/>
      <x:name val="Calibri"/>
      <x:family val="2"/>
      <x:scheme val="minor"/>
    </x:font>
    <x:font>
      <x:b/>
      <x:sz val="15"/>
      <x:color rgb="FFFFFFFF"/>
      <x:name val="Arial"/>
      <x:family val="2"/>
    </x:font>
    <x:font>
      <x:i/>
      <x:sz val="10"/>
      <x:color rgb="FF1B4332"/>
      <x:name val="Arial"/>
      <x:family val="2"/>
    </x:font>
    <x:font>
      <x:b/>
      <x:sz val="10"/>
      <x:color rgb="FFFFFFFF"/>
      <x:name val="Arial"/>
      <x:family val="2"/>
    </x:font>
    <x:font>
      <x:sz val="9"/>
      <x:name val="Arial"/>
      <x:family val="2"/>
    </x:font>
    <x:font>
      <x:b/>
      <x:sz val="9"/>
      <x:color rgb="FFFFFFFF"/>
      <x:name val="Arial"/>
      <x:family val="2"/>
    </x:font>
    <x:font>
      <x:b/>
      <x:sz val="9"/>
      <x:color rgb="FFB71C1C"/>
      <x:name val="Arial"/>
      <x:family val="2"/>
    </x:font>
    <x:font>
      <x:b/>
      <x:sz val="9"/>
      <x:color rgb="FFF57F17"/>
      <x:name val="Arial"/>
      <x:family val="2"/>
    </x:font>
    <x:font>
      <x:b/>
      <x:sz val="9"/>
      <x:color rgb="FF33691E"/>
      <x:name val="Arial"/>
      <x:family val="2"/>
    </x:font>
    <x:font>
      <x:b/>
      <x:sz val="16"/>
      <x:color rgb="FFFFFFFF"/>
      <x:name val="Arial"/>
      <x:family val="2"/>
    </x:font>
    <x:font>
      <x:b/>
      <x:sz val="11"/>
      <x:color rgb="FFFFFFFF"/>
      <x:name val="Arial"/>
      <x:family val="2"/>
    </x:font>
    <x:font>
      <x:b/>
      <x:sz val="10"/>
      <x:color rgb="FF1A1A1A"/>
      <x:name val="Arial"/>
      <x:family val="2"/>
    </x:font>
    <x:font>
      <x:sz val="9"/>
      <x:color rgb="FF1B4332"/>
      <x:name val="Arial"/>
      <x:family val="2"/>
    </x:font>
    <x:font>
      <x:b/>
      <x:sz val="11"/>
      <x:color theme="1"/>
      <x:name val="Calibri"/>
      <x:family val="2"/>
      <x:scheme val="minor"/>
    </x:font>
    <x:font>
      <x:color rgb="007F6000"/>
    </x:font>
    <x:font>
      <x:b/>
      <x:color rgb="001B4332"/>
    </x:font>
    <x:font>
      <x:i/>
      <x:sz val="9"/>
      <x:color rgb="007F6000"/>
    </x:font>
    <x:font>
      <x:b/>
      <x:sz val="15"/>
      <x:color rgb="00FFFFFF"/>
    </x:font>
    <x:font>
      <x:i/>
      <x:sz val="10"/>
      <x:color rgb="001B4332"/>
    </x:font>
    <x:font>
      <x:b/>
      <x:sz val="11"/>
      <x:color rgb="00FFFFFF"/>
    </x:font>
    <x:font>
      <x:b/>
      <x:color rgb="00FFFFFF"/>
    </x:font>
    <x:font>
      <x:i/>
      <x:sz val="10"/>
      <x:color rgb="007F6000"/>
    </x:font>
  </x:fonts>
  <x:fills count="24">
    <x:fill>
      <x:patternFill patternType="none"/>
    </x:fill>
    <x:fill>
      <x:patternFill patternType="gray125"/>
    </x:fill>
    <x:fill>
      <x:patternFill patternType="solid">
        <x:fgColor rgb="FF1B4332"/>
      </x:patternFill>
    </x:fill>
    <x:fill>
      <x:patternFill patternType="solid">
        <x:fgColor rgb="FFD8F3DC"/>
      </x:patternFill>
    </x:fill>
    <x:fill>
      <x:patternFill patternType="solid">
        <x:fgColor rgb="FFFFFFFF"/>
      </x:patternFill>
    </x:fill>
    <x:fill>
      <x:patternFill patternType="solid">
        <x:fgColor rgb="FFFF4444"/>
      </x:patternFill>
    </x:fill>
    <x:fill>
      <x:patternFill patternType="solid">
        <x:fgColor rgb="FFFFCDD2"/>
      </x:patternFill>
    </x:fill>
    <x:fill>
      <x:patternFill patternType="solid">
        <x:fgColor rgb="FFF0FFF4"/>
      </x:patternFill>
    </x:fill>
    <x:fill>
      <x:patternFill patternType="solid">
        <x:fgColor rgb="FFFF8C00"/>
      </x:patternFill>
    </x:fill>
    <x:fill>
      <x:patternFill patternType="solid">
        <x:fgColor rgb="FFFFF9C4"/>
      </x:patternFill>
    </x:fill>
    <x:fill>
      <x:patternFill patternType="solid">
        <x:fgColor rgb="FFDCEDC8"/>
      </x:patternFill>
    </x:fill>
    <x:fill>
      <x:patternFill patternType="solid">
        <x:fgColor rgb="FF2D6A4F"/>
      </x:patternFill>
    </x:fill>
    <x:fill>
      <x:patternFill patternType="solid">
        <x:fgColor rgb="FFFFD700"/>
      </x:patternFill>
    </x:fill>
    <x:fill>
      <x:patternFill patternType="solid">
        <x:fgColor rgb="FF52B788"/>
      </x:patternFill>
    </x:fill>
    <x:fill>
      <x:patternFill patternType="solid">
        <x:fgColor rgb="FFB71C1C"/>
      </x:patternFill>
    </x:fill>
    <x:fill>
      <x:patternFill patternType="solid">
        <x:fgColor rgb="FFFFF5F5"/>
      </x:patternFill>
    </x:fill>
    <x:fill>
      <x:patternFill patternType="solid">
        <x:fgColor rgb="00FCE5CD"/>
      </x:patternFill>
    </x:fill>
    <x:fill>
      <x:patternFill patternType="solid">
        <x:fgColor rgb="00FFF2CC"/>
      </x:patternFill>
    </x:fill>
    <x:fill>
      <x:patternFill patternType="solid">
        <x:fgColor rgb="00D9EAD3"/>
      </x:patternFill>
    </x:fill>
    <x:fill>
      <x:patternFill patternType="solid">
        <x:fgColor rgb="001B4332"/>
      </x:patternFill>
    </x:fill>
    <x:fill>
      <x:patternFill patternType="solid">
        <x:fgColor rgb="00D8EAD8"/>
      </x:patternFill>
    </x:fill>
    <x:fill>
      <x:patternFill patternType="solid">
        <x:fgColor rgb="002D6A4F"/>
      </x:patternFill>
    </x:fill>
    <x:fill>
      <x:patternFill patternType="solid">
        <x:fgColor rgb="00F7FBF7"/>
      </x:patternFill>
    </x:fill>
    <x:fill>
      <x:patternFill patternType="solid">
        <x:fgColor rgb="00ECF5EC"/>
      </x:patternFill>
    </x:fill>
  </x:fills>
  <x:borders count="11">
    <x:border>
      <x:left/>
      <x:right/>
      <x:top/>
      <x:bottom/>
      <x:diagonal/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  <x:diagonal/>
    </x:border>
    <x:border>
      <x:left/>
      <x:right/>
      <x:top style="thin">
        <x:color rgb="FFCCCCCC"/>
      </x:top>
      <x:bottom/>
      <x:diagonal/>
    </x:border>
    <x:border>
      <x:left/>
      <x:right style="thin">
        <x:color rgb="FFCCCCCC"/>
      </x:right>
      <x:top style="thin">
        <x:color rgb="FFCCCCCC"/>
      </x:top>
      <x:bottom/>
      <x:diagonal/>
    </x:border>
    <x:border>
      <x:left/>
      <x:right/>
      <x:top style="thin">
        <x:color rgb="FFCCCCCC"/>
      </x:top>
      <x:bottom style="thin">
        <x:color rgb="FFCCCCCC"/>
      </x:bottom>
      <x:diagonal/>
    </x:border>
    <x:border>
      <x:left/>
      <x:right style="thin">
        <x:color rgb="FFCCCCCC"/>
      </x:right>
      <x:top style="thin">
        <x:color rgb="FFCCCCCC"/>
      </x:top>
      <x:bottom style="thin">
        <x:color rgb="FFCCCCCC"/>
      </x:bottom>
      <x:diagonal/>
    </x:border>
    <x:border>
      <x:left style="thin">
        <x:color rgb="00C9D0C9"/>
      </x:left>
      <x:right style="thin">
        <x:color rgb="00C9D0C9"/>
      </x:right>
      <x:top style="thin">
        <x:color rgb="00C9D0C9"/>
      </x:top>
      <x:bottom style="thin">
        <x:color rgb="00C9D0C9"/>
      </x:bottom>
    </x:border>
    <x:border>
      <x:left/>
      <x:right/>
      <x:top style="thin">
        <x:color rgb="00C9D0C9"/>
      </x:top>
      <x:bottom/>
      <x:diagonal/>
    </x:border>
    <x:border>
      <x:left/>
      <x:right style="thin">
        <x:color rgb="00C9D0C9"/>
      </x:right>
      <x:top style="thin">
        <x:color rgb="00C9D0C9"/>
      </x:top>
      <x:bottom/>
      <x:diagonal/>
    </x:border>
    <x:border>
      <x:left/>
      <x:right/>
      <x:top style="thin">
        <x:color rgb="00C9D0C9"/>
      </x:top>
      <x:bottom style="thin">
        <x:color rgb="00C9D0C9"/>
      </x:bottom>
      <x:diagonal/>
    </x:border>
    <x:border>
      <x:left/>
      <x:right style="thin">
        <x:color rgb="00C9D0C9"/>
      </x:right>
      <x:top style="thin">
        <x:color rgb="00C9D0C9"/>
      </x:top>
      <x:bottom style="thin">
        <x:color rgb="00C9D0C9"/>
      </x:bottom>
      <x:diagonal/>
    </x:border>
  </x:borders>
  <x:cellStyleXfs count="1">
    <x:xf numFmtId="0" fontId="0" fillId="0" borderId="0"/>
  </x:cellStyleXfs>
  <x:cellXfs count="74">
    <x:xf numFmtId="0" fontId="0" fillId="0" borderId="0" xfId="0"/>
    <x:xf numFmtId="0" fontId="10" fillId="2" borderId="0" xfId="0"/>
    <x:xf numFmtId="0" fontId="0" fillId="2" borderId="1" xfId="0"/>
    <x:xf numFmtId="0" fontId="3" fillId="11" borderId="1" xfId="0" applyAlignment="1">
      <x:alignment horizontal="center" vertical="center"/>
    </x:xf>
    <x:xf numFmtId="0" fontId="3" fillId="5" borderId="1" xfId="0" applyAlignment="1">
      <x:alignment horizontal="center" vertical="center"/>
    </x:xf>
    <x:xf numFmtId="0" fontId="3" fillId="8" borderId="1" xfId="0" applyAlignment="1">
      <x:alignment horizontal="center" vertical="center"/>
    </x:xf>
    <x:xf numFmtId="0" fontId="11" fillId="12" borderId="1" xfId="0" applyAlignment="1">
      <x:alignment horizontal="center" vertical="center"/>
    </x:xf>
    <x:xf numFmtId="0" fontId="3" fillId="13" borderId="1" xfId="0" applyAlignment="1">
      <x:alignment horizontal="center" vertical="center"/>
    </x:xf>
    <x:xf numFmtId="0" fontId="5" fillId="14" borderId="1" xfId="0" applyAlignment="1">
      <x:alignment horizontal="center" vertical="center"/>
    </x:xf>
    <x:xf numFmtId="0" fontId="4" fillId="15" borderId="1" xfId="0" applyAlignment="1">
      <x:alignment horizontal="center" vertical="center" wrapText="1"/>
    </x:xf>
    <x:xf numFmtId="0" fontId="4" fillId="15" borderId="1" xfId="0" applyAlignment="1">
      <x:alignment horizontal="left" vertical="center" wrapText="1"/>
    </x:xf>
    <x:xf numFmtId="0" fontId="4" fillId="4" borderId="1" xfId="0" applyAlignment="1">
      <x:alignment horizontal="center" vertical="center" wrapText="1"/>
    </x:xf>
    <x:xf numFmtId="0" fontId="4" fillId="4" borderId="1" xfId="0" applyAlignment="1">
      <x:alignment horizontal="left" vertical="center" wrapText="1"/>
    </x:xf>
    <x:xf numFmtId="0" fontId="3" fillId="2" borderId="1" xfId="0" applyAlignment="1">
      <x:alignment horizontal="center" vertical="center" wrapText="1"/>
    </x:xf>
    <x:xf numFmtId="0" fontId="6" fillId="6" borderId="1" xfId="0" applyAlignment="1">
      <x:alignment horizontal="center" vertical="center"/>
    </x:xf>
    <x:xf numFmtId="0" fontId="5" fillId="5" borderId="1" xfId="0" applyAlignment="1">
      <x:alignment horizontal="center" vertical="center"/>
    </x:xf>
    <x:xf numFmtId="0" fontId="4" fillId="7" borderId="1" xfId="0" applyAlignment="1">
      <x:alignment horizontal="center" vertical="center" wrapText="1"/>
    </x:xf>
    <x:xf numFmtId="0" fontId="4" fillId="7" borderId="1" xfId="0" applyAlignment="1">
      <x:alignment horizontal="left" vertical="center" wrapText="1"/>
    </x:xf>
    <x:xf numFmtId="0" fontId="5" fillId="8" borderId="1" xfId="0" applyAlignment="1">
      <x:alignment horizontal="center" vertical="center"/>
    </x:xf>
    <x:xf numFmtId="0" fontId="7" fillId="9" borderId="1" xfId="0" applyAlignment="1">
      <x:alignment horizontal="center" vertical="center"/>
    </x:xf>
    <x:xf numFmtId="0" fontId="8" fillId="10" borderId="1" xfId="0" applyAlignment="1">
      <x:alignment horizontal="center" vertical="center"/>
    </x:xf>
    <x:xf numFmtId="0" fontId="12" fillId="3" borderId="1" xfId="0" applyAlignment="1">
      <x:alignment horizontal="left" vertical="center"/>
    </x:xf>
    <x:xf numFmtId="0" fontId="0" fillId="0" borderId="0" xfId="0"/>
    <x:xf numFmtId="0" fontId="12" fillId="7" borderId="1" xfId="0" applyAlignment="1">
      <x:alignment horizontal="left" vertical="center"/>
    </x:xf>
    <x:xf numFmtId="0" fontId="9" fillId="2" borderId="0" xfId="0" applyAlignment="1">
      <x:alignment horizontal="center" vertical="center"/>
    </x:xf>
    <x:xf numFmtId="0" fontId="10" fillId="5" borderId="1" xfId="0" applyAlignment="1">
      <x:alignment horizontal="center" vertical="center"/>
    </x:xf>
    <x:xf numFmtId="0" fontId="2" fillId="3" borderId="0" xfId="0" applyAlignment="1">
      <x:alignment horizontal="center" vertical="center"/>
    </x:xf>
    <x:xf numFmtId="0" fontId="10" fillId="11" borderId="1" xfId="0" applyAlignment="1">
      <x:alignment horizontal="center" vertical="center"/>
    </x:xf>
    <x:xf numFmtId="0" fontId="1" fillId="2" borderId="0" xfId="0" applyAlignment="1">
      <x:alignment horizontal="center" vertical="center"/>
    </x:xf>
    <x:xf numFmtId="0" fontId="13" fillId="0" borderId="0" xfId="0"/>
    <x:xf numFmtId="0" fontId="3" fillId="11" borderId="6" xfId="0" applyAlignment="1">
      <x:alignment horizontal="center" vertical="center" wrapText="1"/>
    </x:xf>
    <x:xf numFmtId="0" fontId="3" fillId="5" borderId="6" xfId="0" applyAlignment="1">
      <x:alignment horizontal="center" vertical="center" wrapText="1"/>
    </x:xf>
    <x:xf numFmtId="9" fontId="3" fillId="5" borderId="6" xfId="0" applyAlignment="1">
      <x:alignment horizontal="center" vertical="center" wrapText="1"/>
    </x:xf>
    <x:xf numFmtId="0" fontId="3" fillId="8" borderId="6" xfId="0" applyAlignment="1">
      <x:alignment horizontal="center" vertical="center" wrapText="1"/>
    </x:xf>
    <x:xf numFmtId="9" fontId="3" fillId="8" borderId="6" xfId="0" applyAlignment="1">
      <x:alignment horizontal="center" vertical="center" wrapText="1"/>
    </x:xf>
    <x:xf numFmtId="0" fontId="11" fillId="12" borderId="6" xfId="0" applyAlignment="1">
      <x:alignment horizontal="center" vertical="center" wrapText="1"/>
    </x:xf>
    <x:xf numFmtId="9" fontId="11" fillId="12" borderId="6" xfId="0" applyAlignment="1">
      <x:alignment horizontal="center" vertical="center" wrapText="1"/>
    </x:xf>
    <x:xf numFmtId="0" fontId="3" fillId="13" borderId="6" xfId="0" applyAlignment="1">
      <x:alignment horizontal="center" vertical="center" wrapText="1"/>
    </x:xf>
    <x:xf numFmtId="9" fontId="3" fillId="13" borderId="6" xfId="0" applyAlignment="1">
      <x:alignment horizontal="center" vertical="center" wrapText="1"/>
    </x:xf>
    <x:xf numFmtId="0" fontId="15" fillId="18" borderId="6" xfId="0" applyAlignment="1">
      <x:alignment horizontal="center" vertical="center" wrapText="1"/>
    </x:xf>
    <x:xf numFmtId="0" fontId="0" fillId="0" borderId="4" xfId="0"/>
    <x:xf numFmtId="0" fontId="0" fillId="0" borderId="5" xfId="0"/>
    <x:xf numFmtId="0" fontId="5" fillId="14" borderId="6" xfId="0" applyAlignment="1">
      <x:alignment horizontal="center" vertical="center" wrapText="1"/>
    </x:xf>
    <x:xf numFmtId="0" fontId="5" fillId="14" borderId="6" xfId="0" applyAlignment="1">
      <x:alignment horizontal="left" vertical="center" wrapText="1"/>
    </x:xf>
    <x:xf numFmtId="0" fontId="4" fillId="15" borderId="6" xfId="0" applyAlignment="1">
      <x:alignment horizontal="center" vertical="center" wrapText="1"/>
    </x:xf>
    <x:xf numFmtId="0" fontId="4" fillId="15" borderId="6" xfId="0" applyAlignment="1">
      <x:alignment horizontal="left" vertical="center" wrapText="1"/>
    </x:xf>
    <x:xf numFmtId="0" fontId="4" fillId="4" borderId="6" xfId="0" applyAlignment="1">
      <x:alignment horizontal="center" vertical="center" wrapText="1"/>
    </x:xf>
    <x:xf numFmtId="0" fontId="4" fillId="4" borderId="6" xfId="0" applyAlignment="1">
      <x:alignment horizontal="left" vertical="center" wrapText="1"/>
    </x:xf>
    <x:xf numFmtId="0" fontId="0" fillId="0" borderId="6" xfId="0" applyAlignment="1">
      <x:alignment horizontal="center" vertical="center" wrapText="1"/>
    </x:xf>
    <x:xf numFmtId="0" fontId="0" fillId="0" borderId="6" xfId="0" applyAlignment="1">
      <x:alignment horizontal="left" vertical="center" wrapText="1"/>
    </x:xf>
    <x:xf numFmtId="0" fontId="16" fillId="17" borderId="6" xfId="0" applyAlignment="1">
      <x:alignment horizontal="left" vertical="center" wrapText="1"/>
    </x:xf>
    <x:xf numFmtId="0" fontId="12" fillId="3" borderId="6" xfId="0" applyAlignment="1">
      <x:alignment horizontal="left" vertical="center" wrapText="1"/>
    </x:xf>
    <x:xf numFmtId="0" fontId="12" fillId="7" borderId="6" xfId="0" applyAlignment="1">
      <x:alignment horizontal="left" vertical="center" wrapText="1"/>
    </x:xf>
    <x:xf numFmtId="0" fontId="3" fillId="2" borderId="6" xfId="0" applyAlignment="1">
      <x:alignment horizontal="center" vertical="center" wrapText="1"/>
    </x:xf>
    <x:xf numFmtId="0" fontId="4" fillId="4" borderId="6" xfId="0" applyAlignment="1">
      <x:alignment horizontal="left" vertical="top" wrapText="1"/>
    </x:xf>
    <x:xf numFmtId="0" fontId="6" fillId="6" borderId="6" xfId="0" applyAlignment="1">
      <x:alignment horizontal="center" vertical="center" wrapText="1"/>
    </x:xf>
    <x:xf numFmtId="0" fontId="5" fillId="5" borderId="6" xfId="0" applyAlignment="1">
      <x:alignment horizontal="center" vertical="center" wrapText="1"/>
    </x:xf>
    <x:xf numFmtId="0" fontId="14" fillId="16" borderId="6" xfId="0" applyAlignment="1">
      <x:alignment horizontal="center" vertical="center" wrapText="1"/>
    </x:xf>
    <x:xf numFmtId="0" fontId="4" fillId="7" borderId="6" xfId="0" applyAlignment="1">
      <x:alignment horizontal="center" vertical="center" wrapText="1"/>
    </x:xf>
    <x:xf numFmtId="0" fontId="4" fillId="7" borderId="6" xfId="0" applyAlignment="1">
      <x:alignment horizontal="left" vertical="top" wrapText="1"/>
    </x:xf>
    <x:xf numFmtId="0" fontId="5" fillId="8" borderId="6" xfId="0" applyAlignment="1">
      <x:alignment horizontal="center" vertical="center" wrapText="1"/>
    </x:xf>
    <x:xf numFmtId="0" fontId="7" fillId="9" borderId="6" xfId="0" applyAlignment="1">
      <x:alignment horizontal="center" vertical="center" wrapText="1"/>
    </x:xf>
    <x:xf numFmtId="0" fontId="14" fillId="17" borderId="6" xfId="0" applyAlignment="1">
      <x:alignment horizontal="center" vertical="center" wrapText="1"/>
    </x:xf>
    <x:xf numFmtId="0" fontId="8" fillId="10" borderId="6" xfId="0" applyAlignment="1">
      <x:alignment horizontal="center" vertical="center" wrapText="1"/>
    </x:xf>
    <x:xf numFmtId="0" fontId="17" fillId="19" borderId="0" xfId="0" applyAlignment="1">
      <x:alignment horizontal="center" vertical="center"/>
    </x:xf>
    <x:xf numFmtId="0" fontId="18" fillId="20" borderId="0" xfId="0" applyAlignment="1">
      <x:alignment horizontal="center" vertical="center" wrapText="1"/>
    </x:xf>
    <x:xf numFmtId="0" fontId="19" fillId="19" borderId="0" xfId="0" applyAlignment="1">
      <x:alignment horizontal="left" vertical="center"/>
    </x:xf>
    <x:xf numFmtId="0" fontId="20" fillId="21" borderId="6" xfId="0" applyAlignment="1">
      <x:alignment horizontal="center" vertical="center" wrapText="1"/>
    </x:xf>
    <x:xf numFmtId="0" fontId="0" fillId="22" borderId="6" xfId="0" applyAlignment="1">
      <x:alignment horizontal="left" vertical="top" wrapText="1"/>
    </x:xf>
    <x:xf numFmtId="0" fontId="0" fillId="23" borderId="6" xfId="0" applyAlignment="1">
      <x:alignment horizontal="left" vertical="top" wrapText="1"/>
    </x:xf>
    <x:xf numFmtId="0" fontId="20" fillId="21" borderId="6" xfId="0" applyAlignment="1">
      <x:alignment horizontal="center" vertical="center"/>
    </x:xf>
    <x:xf numFmtId="0" fontId="21" fillId="17" borderId="0" xfId="0" applyAlignment="1">
      <x:alignment horizontal="left" vertical="center" wrapText="1"/>
    </x:xf>
    <x:xf numFmtId="0" fontId="0" fillId="0" borderId="9" xfId="0"/>
    <x:xf numFmtId="0" fontId="0" fillId="0" borderId="1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2813ce8e194490" /><Relationship Type="http://schemas.openxmlformats.org/officeDocument/2006/relationships/theme" Target="/xl/theme/theme1.xml" Id="R443ea86429634448" /><Relationship Type="http://schemas.openxmlformats.org/officeDocument/2006/relationships/sharedStrings" Target="/xl/sharedStrings.xml" Id="Rfa3abb8d26954f90" /><Relationship Type="http://schemas.openxmlformats.org/officeDocument/2006/relationships/worksheet" Target="/xl/worksheets/sheet1.xml" Id="Rfa4fb4f7303c42fe" /><Relationship Type="http://schemas.openxmlformats.org/officeDocument/2006/relationships/worksheet" Target="/xl/worksheets/sheet2.xml" Id="Re1f9379895cd49ed" /><Relationship Type="http://schemas.openxmlformats.org/officeDocument/2006/relationships/worksheet" Target="/xl/worksheets/sheet3.xml" Id="Rf8c6d05296124dfd" /><Relationship Type="http://schemas.openxmlformats.org/officeDocument/2006/relationships/worksheet" Target="/xl/worksheets/sheet4.xml" Id="R50029b35e6484d0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087acee928f470b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Distribución de riesgo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/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'Resumen_Ejecutivo'!C5</c:f>
              <c:strCache>
                <c:ptCount val="1"/>
                <c:pt idx="0">
                  <c:v>None</c:v>
                </c:pt>
              </c:strCache>
            </c:strRef>
          </c:tx>
          <c:spPr>
            <a:ln xmlns:a="http://schemas.openxmlformats.org/drawingml/2006/main">
              <a:prstDash val="solid"/>
            </a:ln>
          </c:spPr>
          <c:cat>
            <c:strRef>
              <c:f>'Resumen_Ejecutivo'!$B$6:$B$9</c:f>
              <c:strCache>
                <c:ptCount val="0"/>
              </c:strCache>
            </c:strRef>
          </c:cat>
          <c:val>
            <c:numRef>
              <c:f>'Resumen_Ejecutivo'!$C$6:$C$9</c:f>
              <c:numCache>
                <c:formatCode>General</c:formatCode>
                <c:ptCount val="0"/>
              </c:numCache>
            </c:numRef>
          </c:val>
        </c:ser>
        <c:firstSliceAng val="0"/>
      </c:pieChart>
    </c:plotArea>
    <c:plotVisOnly val="1"/>
    <c:dispBlanksAs val="gap"/>
  </c:chart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2</xdr:col>
      <xdr:colOff>0</xdr:colOff>
      <xdr:row>10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087acee928f470b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6d10fd282824ca0" /></Relationships>
</file>

<file path=xl/worksheets/sheet1.xml><?xml version="1.0" encoding="utf-8"?>
<x:worksheet xmlns:x="http://schemas.openxmlformats.org/spreadsheetml/2006/main">
  <x:sheetPr>
    <x:tabColor rgb="002D6A4F"/>
  </x:sheetPr>
  <x:sheetViews>
    <x:sheetView showGridLines="0" workbookViewId="0"/>
  </x:sheetViews>
  <x:sheetFormatPr baseColWidth="10" defaultColWidth="8.83203125" defaultRowHeight="15"/>
  <x:cols>
    <x:col min="1" max="1" width="3" style="22" customWidth="1"/>
    <x:col min="2" max="2" width="32" style="22" customWidth="1"/>
    <x:col min="3" max="4" width="18" style="22" customWidth="1"/>
    <x:col min="5" max="5" width="28" style="22" customWidth="1"/>
    <x:col min="6" max="6" width="3" style="22" customWidth="1"/>
    <x:col min="7" max="7" width="12" style="22" customWidth="1"/>
    <x:col min="8" max="8" width="12" style="22" customWidth="1"/>
    <x:col min="9" max="9" width="12" style="22" customWidth="1"/>
    <x:col min="10" max="10" width="12" style="22" customWidth="1"/>
  </x:cols>
  <x:sheetData>
    <x:row r="1" s="22" customFormat="1" ht="40" customHeight="1">
      <x:c r="B1" s="24" t="inlineStr">
        <x:is>
          <x:t xml:space="preserve">📊 RESUMEN EJECUTIVO — STRIDE Airsoft</x:t>
        </x:is>
      </x:c>
    </x:row>
    <x:row r="2" s="22" customFormat="1" ht="20" customHeight="1">
      <x:c r="B2" s="26" t="inlineStr">
        <x:is>
          <x:t xml:space="preserve">Proceso Analizado: Reservas | Pagos Nequi | Consentimiento Forms | Redes Sociales</x:t>
        </x:is>
      </x:c>
    </x:row>
    <x:row r="4" s="22" customFormat="1" ht="22" customHeight="1">
      <x:c r="B4" s="1" t="inlineStr">
        <x:is>
          <x:t xml:space="preserve">DISTRIBUCIÓN DE RIESGO</x:t>
        </x:is>
      </x:c>
      <x:c r="C4" s="2" t="n"/>
      <x:c r="D4" s="2" t="n"/>
      <x:c r="E4" s="2" t="n"/>
    </x:row>
    <x:row r="5" s="22" customFormat="1" ht="22" customHeight="1">
      <x:c r="B5" s="30" t="inlineStr">
        <x:is>
          <x:t xml:space="preserve">Nivel</x:t>
        </x:is>
      </x:c>
      <x:c r="C5" s="30" t="inlineStr">
        <x:is>
          <x:t xml:space="preserve">Cantidad</x:t>
        </x:is>
      </x:c>
      <x:c r="D5" s="30" t="inlineStr">
        <x:is>
          <x:t xml:space="preserve">% del Total</x:t>
        </x:is>
      </x:c>
    </x:row>
    <x:row r="6" s="22" customFormat="1" ht="24" customHeight="1">
      <x:c r="B6" s="31" t="inlineStr">
        <x:is>
          <x:t xml:space="preserve">Crítico</x:t>
        </x:is>
      </x:c>
      <x:c r="C6" s="31">
        <x:f>COUNTIF(STRIDE_Airsoft!$H$5:$H$200,"Crítico")</x:f>
        <x:v>5</x:v>
      </x:c>
      <x:c r="D6" s="32">
        <x:f>IF(SUM($C$6:$C$9)=0,0,C6/SUM($C$6:$C$9))</x:f>
        <x:v>0.5</x:v>
      </x:c>
    </x:row>
    <x:row r="7" s="22" customFormat="1" ht="24" customHeight="1">
      <x:c r="B7" s="33" t="inlineStr">
        <x:is>
          <x:t xml:space="preserve">Alto</x:t>
        </x:is>
      </x:c>
      <x:c r="C7" s="33">
        <x:f>COUNTIF(STRIDE_Airsoft!$H$5:$H$200,"Alto")</x:f>
        <x:v>5</x:v>
      </x:c>
      <x:c r="D7" s="34">
        <x:f>IF(SUM($C$6:$C$9)=0,0,C7/SUM($C$6:$C$9))</x:f>
        <x:v>0.5</x:v>
      </x:c>
    </x:row>
    <x:row r="8" s="22" customFormat="1" ht="24" customHeight="1">
      <x:c r="B8" s="35" t="inlineStr">
        <x:is>
          <x:t xml:space="preserve">Medio</x:t>
        </x:is>
      </x:c>
      <x:c r="C8" s="35">
        <x:f>COUNTIF(STRIDE_Airsoft!$H$5:$H$200,"Medio")</x:f>
        <x:v>0</x:v>
      </x:c>
      <x:c r="D8" s="36">
        <x:f>IF(SUM($C$6:$C$9)=0,0,C8/SUM($C$6:$C$9))</x:f>
        <x:v>0</x:v>
      </x:c>
    </x:row>
    <x:row r="9" s="22" customFormat="1" ht="24" customHeight="1">
      <x:c r="B9" s="37" t="inlineStr">
        <x:is>
          <x:t xml:space="preserve">Bajo</x:t>
        </x:is>
      </x:c>
      <x:c r="C9" s="37">
        <x:f>COUNTIF(STRIDE_Airsoft!$H$5:$H$200,"Bajo")</x:f>
        <x:v>0</x:v>
      </x:c>
      <x:c r="D9" s="38">
        <x:f>IF(SUM($C$6:$C$9)=0,0,C9/SUM($C$6:$C$9))</x:f>
        <x:v>0</x:v>
      </x:c>
    </x:row>
    <x:row r="10" s="22" customFormat="1" ht="24" customHeight="1">
      <x:c r="B10" s="39" t="inlineStr">
        <x:is>
          <x:t xml:space="preserve">Total amenazas identificadas</x:t>
        </x:is>
      </x:c>
      <x:c r="C10" s="39">
        <x:f>SUM(C6:C9)</x:f>
        <x:v>10</x:v>
      </x:c>
      <x:c r="D10" s="39" t="inlineStr">
        <x:is>
          <x:t xml:space="preserve">Cobertura STRIDE</x:t>
        </x:is>
      </x:c>
      <x:c r="E10" s="39" t="inlineStr">
        <x:is>
          <x:t xml:space="preserve">6/6</x:t>
        </x:is>
      </x:c>
    </x:row>
    <x:row r="12" s="22" customFormat="1" ht="22" customHeight="1">
      <x:c r="B12" s="25" t="inlineStr">
        <x:is>
          <x:t xml:space="preserve">🔴 AMENAZAS PRIORITARIAS (Riesgo Crítico)</x:t>
        </x:is>
      </x:c>
      <x:c r="C12" s="40" t="n"/>
      <x:c r="D12" s="40" t="n"/>
      <x:c r="E12" s="41" t="n"/>
    </x:row>
    <x:row r="13">
      <x:c r="B13" s="42" t="inlineStr">
        <x:is>
          <x:t xml:space="preserve">ID</x:t>
        </x:is>
      </x:c>
      <x:c r="C13" s="43" t="inlineStr">
        <x:is>
          <x:t xml:space="preserve">Componente</x:t>
        </x:is>
      </x:c>
      <x:c r="D13" s="42" t="inlineStr">
        <x:is>
          <x:t xml:space="preserve">Tipo STRIDE</x:t>
        </x:is>
      </x:c>
      <x:c r="E13" s="43" t="inlineStr">
        <x:is>
          <x:t xml:space="preserve">Riesgo principal</x:t>
        </x:is>
      </x:c>
    </x:row>
    <x:row r="14" s="22" customFormat="1" ht="22" customHeight="1">
      <x:c r="B14" s="44" t="inlineStr">
        <x:is>
          <x:t xml:space="preserve">T01</x:t>
        </x:is>
      </x:c>
      <x:c r="C14" s="45" t="inlineStr">
        <x:is>
          <x:t xml:space="preserve">WhatsApp falso del negocio</x:t>
        </x:is>
      </x:c>
      <x:c r="D14" s="44" t="inlineStr">
        <x:is>
          <x:t xml:space="preserve">Spoofing</x:t>
        </x:is>
      </x:c>
      <x:c r="E14" s="45" t="inlineStr">
        <x:is>
          <x:t xml:space="preserve">Fraude a clientes y daño reputacional</x:t>
        </x:is>
      </x:c>
    </x:row>
    <x:row r="15" s="22" customFormat="1" ht="22" customHeight="1">
      <x:c r="B15" s="46" t="inlineStr">
        <x:is>
          <x:t xml:space="preserve">T04</x:t>
        </x:is>
      </x:c>
      <x:c r="C15" s="47" t="inlineStr">
        <x:is>
          <x:t xml:space="preserve">Forms con datos personales</x:t>
        </x:is>
      </x:c>
      <x:c r="D15" s="46" t="inlineStr">
        <x:is>
          <x:t xml:space="preserve">Information Disclosure</x:t>
        </x:is>
      </x:c>
      <x:c r="E15" s="47" t="inlineStr">
        <x:is>
          <x:t xml:space="preserve">Riesgo legal por exposición de datos</x:t>
        </x:is>
      </x:c>
    </x:row>
    <x:row r="16" s="22" customFormat="1" ht="22" customHeight="1">
      <x:c r="B16" s="44" t="inlineStr">
        <x:is>
          <x:t xml:space="preserve">T06</x:t>
        </x:is>
      </x:c>
      <x:c r="C16" s="45" t="inlineStr">
        <x:is>
          <x:t xml:space="preserve">Nequi personal del negocio</x:t>
        </x:is>
      </x:c>
      <x:c r="D16" s="44" t="inlineStr">
        <x:is>
          <x:t xml:space="preserve">Elevation of Privilege</x:t>
        </x:is>
      </x:c>
      <x:c r="E16" s="45" t="inlineStr">
        <x:is>
          <x:t xml:space="preserve">Pérdida financiera y mezcla de fondos</x:t>
        </x:is>
      </x:c>
    </x:row>
    <x:row r="17" s="22" customFormat="1" ht="22" customHeight="1">
      <x:c r="B17" s="46" t="inlineStr">
        <x:is>
          <x:t xml:space="preserve">T08</x:t>
        </x:is>
      </x:c>
      <x:c r="C17" s="47" t="inlineStr">
        <x:is>
          <x:t xml:space="preserve">Operador único — sin redundancia</x:t>
        </x:is>
      </x:c>
      <x:c r="D17" s="46" t="inlineStr">
        <x:is>
          <x:t xml:space="preserve">Denial of Service</x:t>
        </x:is>
      </x:c>
      <x:c r="E17" s="47" t="inlineStr">
        <x:is>
          <x:t xml:space="preserve">Negocio paralizado si operador no responde</x:t>
        </x:is>
      </x:c>
    </x:row>
    <x:row r="18" s="22" customFormat="1" ht="22" customHeight="1">
      <x:c r="B18" s="48" t="inlineStr">
        <x:is>
          <x:t xml:space="preserve">T09</x:t>
        </x:is>
      </x:c>
      <x:c r="C18" s="49" t="inlineStr">
        <x:is>
          <x:t xml:space="preserve">Celular operador con todos los datos</x:t>
        </x:is>
      </x:c>
      <x:c r="D18" s="48" t="inlineStr">
        <x:is>
          <x:t xml:space="preserve">Information Disclosure</x:t>
        </x:is>
      </x:c>
      <x:c r="E18" s="49" t="inlineStr">
        <x:is>
          <x:t xml:space="preserve">Exposición masiva de datos de clientes</x:t>
        </x:is>
      </x:c>
    </x:row>
    <x:row r="19" s="22" customFormat="1" ht="28" customHeight="1">
      <x:c r="B19" s="50" t="inlineStr">
        <x:is>
          <x:t xml:space="preserve">Nota: la distribución se actualiza desde la hoja STRIDE_Airsoft; la priorización crítica incluye amenazas legales, operativas y financieras de atención inmediata.</x:t>
        </x:is>
      </x:c>
      <x:c r="C19" s="72" t="n"/>
      <x:c r="D19" s="72" t="n"/>
      <x:c r="E19" s="73" t="n"/>
    </x:row>
    <x:row r="20" s="22" customFormat="1" ht="22" customHeight="1">
      <x:c r="B20" s="27" t="inlineStr">
        <x:is>
          <x:t xml:space="preserve">✅ RECOMENDACIONES INMEDIATAS (Quick Wins)</x:t>
        </x:is>
      </x:c>
      <x:c r="C20" s="40" t="n"/>
      <x:c r="D20" s="40" t="n"/>
      <x:c r="E20" s="41" t="n"/>
    </x:row>
    <x:row r="21" s="22" customFormat="1" ht="20" customHeight="1">
      <x:c r="B21" s="51" t="inlineStr">
        <x:is>
          <x:t xml:space="preserve">1. Activar WhatsApp Business con perfil verificado y respuesta automática.</x:t>
        </x:is>
      </x:c>
      <x:c r="C21" s="72" t="n"/>
      <x:c r="D21" s="72" t="n"/>
      <x:c r="E21" s="73" t="n"/>
    </x:row>
    <x:row r="22" s="22" customFormat="1" ht="20" customHeight="1">
      <x:c r="B22" s="52" t="inlineStr">
        <x:is>
          <x:t xml:space="preserve">2. Restringir Google Sheets de consentimientos a solo el operador.</x:t>
        </x:is>
      </x:c>
      <x:c r="C22" s="72" t="n"/>
      <x:c r="D22" s="72" t="n"/>
      <x:c r="E22" s="73" t="n"/>
    </x:row>
    <x:row r="23" s="22" customFormat="1" ht="20" customHeight="1">
      <x:c r="B23" s="51" t="inlineStr">
        <x:is>
          <x:t xml:space="preserve">3. Verificar pagos Nequi directamente en la app (no solo por imagen).</x:t>
        </x:is>
      </x:c>
      <x:c r="C23" s="72" t="n"/>
      <x:c r="D23" s="72" t="n"/>
      <x:c r="E23" s="73" t="n"/>
    </x:row>
    <x:row r="24" s="22" customFormat="1" ht="20" customHeight="1">
      <x:c r="B24" s="52" t="inlineStr">
        <x:is>
          <x:t xml:space="preserve">4. Crear cuenta bancaria/Nequi separada exclusiva para el negocio.</x:t>
        </x:is>
      </x:c>
      <x:c r="C24" s="72" t="n"/>
      <x:c r="D24" s="72" t="n"/>
      <x:c r="E24" s="73" t="n"/>
    </x:row>
    <x:row r="25" s="22" customFormat="1" ht="20" customHeight="1">
      <x:c r="B25" s="51" t="inlineStr">
        <x:is>
          <x:t xml:space="preserve">5. Activar cifrado y bloqueo remoto en el celular del operador.</x:t>
        </x:is>
      </x:c>
      <x:c r="C25" s="72" t="n"/>
      <x:c r="D25" s="72" t="n"/>
      <x:c r="E25" s="73" t="n"/>
    </x:row>
    <x:row r="26" s="22" customFormat="1" ht="20" customHeight="1">
      <x:c r="B26" s="52" t="inlineStr">
        <x:is>
          <x:t xml:space="preserve">6. Designar un segundo operador de respaldo para WhatsApp.</x:t>
        </x:is>
      </x:c>
      <x:c r="C26" s="72" t="n"/>
      <x:c r="D26" s="72" t="n"/>
      <x:c r="E26" s="73" t="n"/>
    </x:row>
  </x:sheetData>
  <x:mergeCells>
    <x:mergeCell ref="B26:E26"/>
    <x:mergeCell ref="B23:E23"/>
    <x:mergeCell ref="B1:E1"/>
    <x:mergeCell ref="B12:E12"/>
    <x:mergeCell ref="B21:E21"/>
    <x:mergeCell ref="B25:E25"/>
    <x:mergeCell ref="B24:E24"/>
    <x:mergeCell ref="B2:E2"/>
    <x:mergeCell ref="B20:E20"/>
    <x:mergeCell ref="B19:E19"/>
    <x:mergeCell ref="B22:E22"/>
  </x:mergeCells>
  <x:pageMargins left="0.7" right="0.7" top="0.75" bottom="0.75" header="0.3" footer="0.3"/>
  <x:drawing xmlns:r="http://schemas.openxmlformats.org/officeDocument/2006/relationships" r:id="R06d10fd282824ca0"/>
</x:worksheet>
</file>

<file path=xl/worksheets/sheet2.xml><?xml version="1.0" encoding="utf-8"?>
<x:worksheet xmlns:x="http://schemas.openxmlformats.org/spreadsheetml/2006/main">
  <x:sheetPr>
    <x:tabColor rgb="001B4332"/>
  </x:sheetPr>
  <x:sheetViews>
    <x:sheetView showGridLines="0" workbookViewId="0"/>
  </x:sheetViews>
  <x:sheetFormatPr baseColWidth="10" defaultColWidth="9.1640625" defaultRowHeight="15"/>
  <x:cols>
    <x:col min="1" max="1" width="6" style="22" customWidth="1"/>
    <x:col min="2" max="2" width="28" style="22" customWidth="1"/>
    <x:col min="3" max="3" width="22" style="22" customWidth="1"/>
    <x:col min="4" max="4" width="48" style="22" customWidth="1"/>
    <x:col min="5" max="5" width="52" style="22" customWidth="1"/>
    <x:col min="6" max="6" width="38" style="22" customWidth="1"/>
    <x:col min="7" max="7" width="14" style="22" customWidth="1"/>
    <x:col min="8" max="8" width="14" style="22" customWidth="1"/>
    <x:col min="9" max="9" width="32" style="22" customWidth="1"/>
    <x:col min="10" max="10" width="52" style="22" customWidth="1"/>
    <x:col min="11" max="11" width="22" style="22" customWidth="1"/>
    <x:col min="12" max="12" width="14" style="22" customWidth="1"/>
  </x:cols>
  <x:sheetData>
    <x:row r="1" s="22" customFormat="1" ht="35" customHeight="1">
      <x:c r="A1" s="28" t="inlineStr">
        <x:is>
          <x:t xml:space="preserve">🎯  ANÁLISIS DE SEGURIDAD — STRIDE  |  Cliente: Negocio de Airsoft</x:t>
        </x:is>
      </x:c>
    </x:row>
    <x:row r="2" s="22" customFormat="1" ht="20" customHeight="1">
      <x:c r="A2" s="26" t="inlineStr">
        <x:is>
          <x:t xml:space="preserve">Proceso crítico analizado: Flujo de Reservas, Pagos y Consentimiento Informado vía WhatsApp + Nequi + Google Forms</x:t>
        </x:is>
      </x:c>
    </x:row>
    <x:row r="3" s="22" customFormat="1" ht="8" customHeight="1"/>
    <x:row r="4" s="22" customFormat="1" ht="28" customHeight="1">
      <x:c r="A4" s="53" t="inlineStr">
        <x:is>
          <x:t xml:space="preserve">ID</x:t>
        </x:is>
      </x:c>
      <x:c r="B4" s="53" t="inlineStr">
        <x:is>
          <x:t xml:space="preserve">Componente / Activo</x:t>
        </x:is>
      </x:c>
      <x:c r="C4" s="53" t="inlineStr">
        <x:is>
          <x:t xml:space="preserve">Tipo STRIDE</x:t>
        </x:is>
      </x:c>
      <x:c r="D4" s="53" t="inlineStr">
        <x:is>
          <x:t xml:space="preserve">Descripción de la Amenaza</x:t>
        </x:is>
      </x:c>
      <x:c r="E4" s="53" t="inlineStr">
        <x:is>
          <x:t xml:space="preserve">Escenario de Ataque</x:t>
        </x:is>
      </x:c>
      <x:c r="F4" s="53" t="inlineStr">
        <x:is>
          <x:t xml:space="preserve">Impacto</x:t>
        </x:is>
      </x:c>
      <x:c r="G4" s="53" t="inlineStr">
        <x:is>
          <x:t xml:space="preserve">Probabilidad</x:t>
        </x:is>
      </x:c>
      <x:c r="H4" s="53" t="inlineStr">
        <x:is>
          <x:t xml:space="preserve">Nivel de Riesgo</x:t>
        </x:is>
      </x:c>
      <x:c r="I4" s="53" t="inlineStr">
        <x:is>
          <x:t xml:space="preserve">Controles Existentes</x:t>
        </x:is>
      </x:c>
      <x:c r="J4" s="53" t="inlineStr">
        <x:is>
          <x:t xml:space="preserve">Mitigación Recomendada</x:t>
        </x:is>
      </x:c>
      <x:c r="K4" s="53" t="inlineStr">
        <x:is>
          <x:t xml:space="preserve">Responsable</x:t>
        </x:is>
      </x:c>
      <x:c r="L4" s="53" t="inlineStr">
        <x:is>
          <x:t xml:space="preserve">Estado</x:t>
        </x:is>
      </x:c>
    </x:row>
    <x:row r="5" s="22" customFormat="1" ht="70" customHeight="1">
      <x:c r="A5" s="46" t="inlineStr">
        <x:is>
          <x:t xml:space="preserve">T01</x:t>
        </x:is>
      </x:c>
      <x:c r="B5" s="54" t="inlineStr">
        <x:is>
          <x:t xml:space="preserve">WhatsApp Personal del Operador</x:t>
        </x:is>
      </x:c>
      <x:c r="C5" s="54" t="inlineStr">
        <x:is>
          <x:t xml:space="preserve">Spoofing</x:t>
        </x:is>
      </x:c>
      <x:c r="D5" s="54" t="inlineStr">
        <x:is>
          <x:t xml:space="preserve">Un atacante crea un número falso suplantando al negocio para engañar clientes y captar pagos.</x:t>
        </x:is>
      </x:c>
      <x:c r="E5" s="54" t="inlineStr">
        <x:is>
          <x:t xml:space="preserve">Cliente recibe mensaje de "airsoft_reservas_clone" con datos bancarios falsos; transfiere el 50% a estafador.</x:t>
        </x:is>
      </x:c>
      <x:c r="F5" s="54" t="inlineStr">
        <x:is>
          <x:t xml:space="preserve">Pérdida económica del cliente, daño reputacional grave al negocio.</x:t>
        </x:is>
      </x:c>
      <x:c r="G5" s="55" t="inlineStr">
        <x:is>
          <x:t xml:space="preserve">Alta</x:t>
        </x:is>
      </x:c>
      <x:c r="H5" s="56" t="inlineStr">
        <x:is>
          <x:t xml:space="preserve">Crítico</x:t>
        </x:is>
      </x:c>
      <x:c r="I5" s="54" t="inlineStr">
        <x:is>
          <x:t xml:space="preserve">Ninguno. No hay verificación de identidad del canal.</x:t>
        </x:is>
      </x:c>
      <x:c r="J5" s="54" t="inlineStr">
        <x:is>
          <x:t xml:space="preserve">• Usar WhatsApp Business con perfil verificado.
• Publicar número oficial en RRSS con sello de verificación.
• Agregar enlace oficial en bio de Instagram/Facebook.</x:t>
        </x:is>
      </x:c>
      <x:c r="K5" s="46" t="inlineStr">
        <x:is>
          <x:t xml:space="preserve">Dueño del negocio</x:t>
        </x:is>
      </x:c>
      <x:c r="L5" s="57" t="inlineStr">
        <x:is>
          <x:t xml:space="preserve">Pendiente</x:t>
        </x:is>
      </x:c>
    </x:row>
    <x:row r="6" s="22" customFormat="1" ht="70" customHeight="1">
      <x:c r="A6" s="58" t="inlineStr">
        <x:is>
          <x:t xml:space="preserve">T02</x:t>
        </x:is>
      </x:c>
      <x:c r="B6" s="59" t="inlineStr">
        <x:is>
          <x:t xml:space="preserve">Chat de WhatsApp — Reservas</x:t>
        </x:is>
      </x:c>
      <x:c r="C6" s="59" t="inlineStr">
        <x:is>
          <x:t xml:space="preserve">Repudiation</x:t>
        </x:is>
      </x:c>
      <x:c r="D6" s="59" t="inlineStr">
        <x:is>
          <x:t xml:space="preserve">El cliente niega haber reservado o haber enviado el comprobante de pago; el operador no puede demostrarlo.</x:t>
        </x:is>
      </x:c>
      <x:c r="E6" s="59" t="inlineStr">
        <x:is>
          <x:t xml:space="preserve">Doble reserva o no-show el día del evento. Cliente exige reembolso sin evidencia de pago.</x:t>
        </x:is>
      </x:c>
      <x:c r="F6" s="59" t="inlineStr">
        <x:is>
          <x:t xml:space="preserve">Pérdida de ingreso, conflictos legales, slot de cancha desperdiciado.</x:t>
        </x:is>
      </x:c>
      <x:c r="G6" s="55" t="inlineStr">
        <x:is>
          <x:t xml:space="preserve">Alta</x:t>
        </x:is>
      </x:c>
      <x:c r="H6" s="60" t="inlineStr">
        <x:is>
          <x:t xml:space="preserve">Alto</x:t>
        </x:is>
      </x:c>
      <x:c r="I6" s="59" t="inlineStr">
        <x:is>
          <x:t xml:space="preserve">Los mensajes de WhatsApp quedan en el historial, pero no están firmados ni archivados de forma segura.</x:t>
        </x:is>
      </x:c>
      <x:c r="J6" s="59" t="inlineStr">
        <x:is>
          <x:t xml:space="preserve">• Implementar sistema de reservas con confirmación por correo (PDF autogenerado).
• Guardar capturas de pantalla en carpeta compartida (Google Drive) por fecha.
• Notificar al cliente por dos canales distintos.</x:t>
        </x:is>
      </x:c>
      <x:c r="K6" s="58" t="inlineStr">
        <x:is>
          <x:t xml:space="preserve">Operador / Desarrollador</x:t>
        </x:is>
      </x:c>
      <x:c r="L6" s="57" t="inlineStr">
        <x:is>
          <x:t xml:space="preserve">Pendiente</x:t>
        </x:is>
      </x:c>
    </x:row>
    <x:row r="7" s="22" customFormat="1" ht="70" customHeight="1">
      <x:c r="A7" s="46" t="inlineStr">
        <x:is>
          <x:t xml:space="preserve">T03</x:t>
        </x:is>
      </x:c>
      <x:c r="B7" s="54" t="inlineStr">
        <x:is>
          <x:t xml:space="preserve">Comprobante de Pago por Nequi</x:t>
        </x:is>
      </x:c>
      <x:c r="C7" s="54" t="inlineStr">
        <x:is>
          <x:t xml:space="preserve">Tampering</x:t>
        </x:is>
      </x:c>
      <x:c r="D7" s="54" t="inlineStr">
        <x:is>
          <x:t xml:space="preserve">El cliente envía una captura de pantalla falsa o editada del comprobante de Nequi.</x:t>
        </x:is>
      </x:c>
      <x:c r="E7" s="54" t="inlineStr">
        <x:is>
          <x:t xml:space="preserve">Imagen de pago manipulada con Photoshop o app de edición. Operador confirma reserva sin verificar el pago real.</x:t>
        </x:is>
      </x:c>
      <x:c r="F7" s="54" t="inlineStr">
        <x:is>
          <x:t xml:space="preserve">Prestación del servicio sin cobrar el 50% de anticipo. Pérdida directa de ingresos.</x:t>
        </x:is>
      </x:c>
      <x:c r="G7" s="61" t="inlineStr">
        <x:is>
          <x:t xml:space="preserve">Media</x:t>
        </x:is>
      </x:c>
      <x:c r="H7" s="60" t="inlineStr">
        <x:is>
          <x:t xml:space="preserve">Alto</x:t>
        </x:is>
      </x:c>
      <x:c r="I7" s="54" t="inlineStr">
        <x:is>
          <x:t xml:space="preserve">Ninguno. La verificación es visual sobre imagen en el chat.</x:t>
        </x:is>
      </x:c>
      <x:c r="J7" s="54" t="inlineStr">
        <x:is>
          <x:t xml:space="preserve">• Verificar directamente en la app de Nequi si el saldo fue recibido antes de confirmar.
• Solicitar el ID de transacción oficial (no solo la captura).
• Migrar a pasarela de pagos (PSE, Wompi, Bold) con confirmación automática.</x:t>
        </x:is>
      </x:c>
      <x:c r="K7" s="46" t="inlineStr">
        <x:is>
          <x:t xml:space="preserve">Operador</x:t>
        </x:is>
      </x:c>
      <x:c r="L7" s="62" t="inlineStr">
        <x:is>
          <x:t xml:space="preserve">En análisis</x:t>
        </x:is>
      </x:c>
    </x:row>
    <x:row r="8" s="22" customFormat="1" ht="70" customHeight="1">
      <x:c r="A8" s="58" t="inlineStr">
        <x:is>
          <x:t xml:space="preserve">T04</x:t>
        </x:is>
      </x:c>
      <x:c r="B8" s="59" t="inlineStr">
        <x:is>
          <x:t xml:space="preserve">Google Forms — Consentimiento Informado</x:t>
        </x:is>
      </x:c>
      <x:c r="C8" s="59" t="inlineStr">
        <x:is>
          <x:t xml:space="preserve">Information Disclosure</x:t>
        </x:is>
      </x:c>
      <x:c r="D8" s="59" t="inlineStr">
        <x:is>
          <x:t xml:space="preserve">El formulario de consentimiento recopila datos personales (nombre, cédula y eventualmente datos de menores) con controles de acceso insuficientes y sin aviso de privacidad visible.</x:t>
        </x:is>
      </x:c>
      <x:c r="E8" s="59" t="inlineStr">
        <x:is>
          <x:t xml:space="preserve">Enlace público al Forms filtrado en grupos de chat; terceros acceden o descargan respuestas desde la hoja asociada si los permisos están mal configurados.</x:t>
        </x:is>
      </x:c>
      <x:c r="F8" s="59" t="inlineStr">
        <x:is>
          <x:t xml:space="preserve">Violación de datos personales. Riesgo legal bajo Ley 1581 de 2012 (Habeas Data, Colombia).</x:t>
        </x:is>
      </x:c>
      <x:c r="G8" s="61" t="inlineStr">
        <x:is>
          <x:t xml:space="preserve">Media</x:t>
        </x:is>
      </x:c>
      <x:c r="H8" s="56" t="inlineStr">
        <x:is>
          <x:t xml:space="preserve">Crítico</x:t>
        </x:is>
      </x:c>
      <x:c r="I8" s="59" t="inlineStr">
        <x:is>
          <x:t xml:space="preserve">Google Forms usa HTTPS, pero no existe control estricto sobre la hoja de respuestas ni política visible al titular.</x:t>
        </x:is>
      </x:c>
      <x:c r="J8" s="59" t="inlineStr">
        <x:is>
          <x:t xml:space="preserve">• Restringir acceso a Google Sheets de respuestas solo al operador.
• Agregar política de privacidad y finalidad del tratamiento al inicio del formulario.
• No solicitar datos sensibles innecesarios (por ejemplo, documento de menores) salvo necesidad justificada.
• Revisar y limitar permisos de edición/descarga en la hoja de respuestas.</x:t>
        </x:is>
      </x:c>
      <x:c r="K8" s="58" t="inlineStr">
        <x:is>
          <x:t xml:space="preserve">Operador / Gestor de datos</x:t>
        </x:is>
      </x:c>
      <x:c r="L8" s="57" t="inlineStr">
        <x:is>
          <x:t xml:space="preserve">Pendiente</x:t>
        </x:is>
      </x:c>
    </x:row>
    <x:row r="9" s="22" customFormat="1" ht="70" customHeight="1">
      <x:c r="A9" s="46" t="inlineStr">
        <x:is>
          <x:t xml:space="preserve">T05</x:t>
        </x:is>
      </x:c>
      <x:c r="B9" s="54" t="inlineStr">
        <x:is>
          <x:t xml:space="preserve">Google Forms — Consentimiento Informado</x:t>
        </x:is>
      </x:c>
      <x:c r="C9" s="54" t="inlineStr">
        <x:is>
          <x:t xml:space="preserve">Tampering</x:t>
        </x:is>
      </x:c>
      <x:c r="D9" s="54" t="inlineStr">
        <x:is>
          <x:t xml:space="preserve">Las respuestas del formulario en Google Sheets pueden ser editadas manualmente por cualquier persona con acceso al link de edición.</x:t>
        </x:is>
      </x:c>
      <x:c r="E9" s="54" t="inlineStr">
        <x:is>
          <x:t xml:space="preserve">Empleado descontento o tercero con acceso borra o modifica el consentimiento de un participante que sufrió un accidente.</x:t>
        </x:is>
      </x:c>
      <x:c r="F9" s="54" t="inlineStr">
        <x:is>
          <x:t xml:space="preserve">Sin consentimiento válido, el negocio no tiene respaldo legal en caso de lesión o incidente.</x:t>
        </x:is>
      </x:c>
      <x:c r="G9" s="63" t="inlineStr">
        <x:is>
          <x:t xml:space="preserve">Baja</x:t>
        </x:is>
      </x:c>
      <x:c r="H9" s="60" t="inlineStr">
        <x:is>
          <x:t xml:space="preserve">Alto</x:t>
        </x:is>
      </x:c>
      <x:c r="I9" s="54" t="inlineStr">
        <x:is>
          <x:t xml:space="preserve">Google Sheets guarda historial de cambios, pero el acceso no está restringido.</x:t>
        </x:is>
      </x:c>
      <x:c r="J9" s="54" t="inlineStr">
        <x:is>
          <x:t xml:space="preserve">• Hacer la hoja de respuestas de "solo lectura" para todos excepto el propietario.
• Exportar y archivar el consentimiento en PDF firmado digitalmente al momento de la reserva.
• Habilitar notificaciones de cambio en la hoja.</x:t>
        </x:is>
      </x:c>
      <x:c r="K9" s="46" t="inlineStr">
        <x:is>
          <x:t xml:space="preserve">Operador</x:t>
        </x:is>
      </x:c>
      <x:c r="L9" s="57" t="inlineStr">
        <x:is>
          <x:t xml:space="preserve">Pendiente</x:t>
        </x:is>
      </x:c>
    </x:row>
    <x:row r="10" s="22" customFormat="1" ht="70" customHeight="1">
      <x:c r="A10" s="58" t="inlineStr">
        <x:is>
          <x:t xml:space="preserve">T06</x:t>
        </x:is>
      </x:c>
      <x:c r="B10" s="59" t="inlineStr">
        <x:is>
          <x:t xml:space="preserve">Cuenta Nequi Personal del Operador</x:t>
        </x:is>
      </x:c>
      <x:c r="C10" s="59" t="inlineStr">
        <x:is>
          <x:t xml:space="preserve">Elevation of Privilege</x:t>
        </x:is>
      </x:c>
      <x:c r="D10" s="59" t="inlineStr">
        <x:is>
          <x:t xml:space="preserve">Al usar una cuenta Nequi personal para el negocio, un tercero con acceso al celular puede realizar transacciones o ver el historial completo del negocio.</x:t>
        </x:is>
      </x:c>
      <x:c r="E10" s="59" t="inlineStr">
        <x:is>
          <x:t xml:space="preserve">Empleado temporal, familiar o cómplice accede al celular desbloqueado y transfiere fondos del negocio a terceros.</x:t>
        </x:is>
      </x:c>
      <x:c r="F10" s="59" t="inlineStr">
        <x:is>
          <x:t xml:space="preserve">Pérdida financiera directa. Mezcla de ingresos personales y del negocio dificulta auditorías.</x:t>
        </x:is>
      </x:c>
      <x:c r="G10" s="61" t="inlineStr">
        <x:is>
          <x:t xml:space="preserve">Media</x:t>
        </x:is>
      </x:c>
      <x:c r="H10" s="56" t="inlineStr">
        <x:is>
          <x:t xml:space="preserve">Crítico</x:t>
        </x:is>
      </x:c>
      <x:c r="I10" s="59" t="inlineStr">
        <x:is>
          <x:t xml:space="preserve">Solo la biometría del teléfono como barrera de acceso.</x:t>
        </x:is>
      </x:c>
      <x:c r="J10" s="59" t="inlineStr">
        <x:is>
          <x:t xml:space="preserve">• Abrir cuenta Nequi o Daviplata exclusiva para el negocio (RUT/NIT).
• Activar autenticación de dos factores en la cuenta de pagos.
• Llevar registro contable separado (app de contabilidad simple: Alegra o Siigo Pyme).</x:t>
        </x:is>
      </x:c>
      <x:c r="K10" s="58" t="inlineStr">
        <x:is>
          <x:t xml:space="preserve">Dueño del negocio</x:t>
        </x:is>
      </x:c>
      <x:c r="L10" s="57" t="inlineStr">
        <x:is>
          <x:t xml:space="preserve">Pendiente</x:t>
        </x:is>
      </x:c>
    </x:row>
    <x:row r="11" s="22" customFormat="1" ht="70" customHeight="1">
      <x:c r="A11" s="46" t="inlineStr">
        <x:is>
          <x:t xml:space="preserve">T07</x:t>
        </x:is>
      </x:c>
      <x:c r="B11" s="54" t="inlineStr">
        <x:is>
          <x:t xml:space="preserve">Instagram / Facebook del Negocio</x:t>
        </x:is>
      </x:c>
      <x:c r="C11" s="54" t="inlineStr">
        <x:is>
          <x:t xml:space="preserve">Spoofing</x:t>
        </x:is>
      </x:c>
      <x:c r="D11" s="54" t="inlineStr">
        <x:is>
          <x:t xml:space="preserve">Creación de perfiles falsos que imitan las cuentas oficiales para captar clientes y dinero.</x:t>
        </x:is>
      </x:c>
      <x:c r="E11" s="54" t="inlineStr">
        <x:is>
          <x:t xml:space="preserve">Cuenta "airsoft_colombia_oficial2" con fotos robadas del negocio real ofrece descuentos falsos y recibe pagos.</x:t>
        </x:is>
      </x:c>
      <x:c r="F11" s="54" t="inlineStr">
        <x:is>
          <x:t xml:space="preserve">Clientes estafados, reputación dañada, posibles acciones legales contra el negocio legítimo.</x:t>
        </x:is>
      </x:c>
      <x:c r="G11" s="55" t="inlineStr">
        <x:is>
          <x:t xml:space="preserve">Alta</x:t>
        </x:is>
      </x:c>
      <x:c r="H11" s="60" t="inlineStr">
        <x:is>
          <x:t xml:space="preserve">Alto</x:t>
        </x:is>
      </x:c>
      <x:c r="I11" s="54" t="inlineStr">
        <x:is>
          <x:t xml:space="preserve">Ninguno. No hay verificación oficial de la cuenta.</x:t>
        </x:is>
      </x:c>
      <x:c r="J11" s="54" t="inlineStr">
        <x:is>
          <x:t xml:space="preserve">• Solicitar verificación (badge) en Instagram y Facebook.
• Publicar aviso oficial indicando que solo existe un perfil.
• Monitorear con Google Alerts o menciones en redes con el nombre del negocio.</x:t>
        </x:is>
      </x:c>
      <x:c r="K11" s="46" t="inlineStr">
        <x:is>
          <x:t xml:space="preserve">Community Manager / Dueño</x:t>
        </x:is>
      </x:c>
      <x:c r="L11" s="57" t="inlineStr">
        <x:is>
          <x:t xml:space="preserve">Pendiente</x:t>
        </x:is>
      </x:c>
    </x:row>
    <x:row r="12" s="22" customFormat="1" ht="70" customHeight="1">
      <x:c r="A12" s="58" t="inlineStr">
        <x:is>
          <x:t xml:space="preserve">T08</x:t>
        </x:is>
      </x:c>
      <x:c r="B12" s="59" t="inlineStr">
        <x:is>
          <x:t xml:space="preserve">Proceso de Reserva — WhatsApp + Forms + Nequi</x:t>
        </x:is>
      </x:c>
      <x:c r="C12" s="59" t="inlineStr">
        <x:is>
          <x:t xml:space="preserve">Denial of Service</x:t>
        </x:is>
      </x:c>
      <x:c r="D12" s="59" t="inlineStr">
        <x:is>
          <x:t xml:space="preserve">El operador es la única persona que atiende y si no responde (enfermedad, robo del celular, etc.) el negocio queda completamente inoperativo.</x:t>
        </x:is>
      </x:c>
      <x:c r="E12" s="59" t="inlineStr">
        <x:is>
          <x:t xml:space="preserve">Caída del servicio en época de alta demanda (vacaciones, fines de semana). Pérdida de reservas y clientes.</x:t>
        </x:is>
      </x:c>
      <x:c r="F12" s="59" t="inlineStr">
        <x:is>
          <x:t xml:space="preserve">Cero ingresos durante el período de inactividad. Daño reputacional.</x:t>
        </x:is>
      </x:c>
      <x:c r="G12" s="55" t="inlineStr">
        <x:is>
          <x:t xml:space="preserve">Alta</x:t>
        </x:is>
      </x:c>
      <x:c r="H12" s="56" t="inlineStr">
        <x:is>
          <x:t xml:space="preserve">Crítico</x:t>
        </x:is>
      </x:c>
      <x:c r="I12" s="59" t="inlineStr">
        <x:is>
          <x:t xml:space="preserve">Ninguno. No hay redundancia ni respaldo operativo.</x:t>
        </x:is>
      </x:c>
      <x:c r="J12" s="59" t="inlineStr">
        <x:is>
          <x:t xml:space="preserve">• Designar un segundo operador con acceso al número de WhatsApp Business.
• Configurar respuesta automática fuera de horario.
• Implementar formulario web de reservas autogestionado (Calendly, Reservo o web propia).</x:t>
        </x:is>
      </x:c>
      <x:c r="K12" s="58" t="inlineStr">
        <x:is>
          <x:t xml:space="preserve">Dueño del negocio</x:t>
        </x:is>
      </x:c>
      <x:c r="L12" s="57" t="inlineStr">
        <x:is>
          <x:t xml:space="preserve">Pendiente</x:t>
        </x:is>
      </x:c>
    </x:row>
    <x:row r="13" s="22" customFormat="1" ht="70" customHeight="1">
      <x:c r="A13" s="46" t="inlineStr">
        <x:is>
          <x:t xml:space="preserve">T09</x:t>
        </x:is>
      </x:c>
      <x:c r="B13" s="54" t="inlineStr">
        <x:is>
          <x:t xml:space="preserve">Historial de Conversaciones WhatsApp</x:t>
        </x:is>
      </x:c>
      <x:c r="C13" s="54" t="inlineStr">
        <x:is>
          <x:t xml:space="preserve">Information Disclosure</x:t>
        </x:is>
      </x:c>
      <x:c r="D13" s="54" t="inlineStr">
        <x:is>
          <x:t xml:space="preserve">El teléfono del operador contiene datos de todos los clientes (nombres, pagos, fotos de cédulas si se piden). Si se pierde o roba, todo queda expuesto.</x:t>
        </x:is>
      </x:c>
      <x:c r="E13" s="54" t="inlineStr">
        <x:is>
          <x:t xml:space="preserve">Robo del celular del operador. Acceso a conversaciones privadas, comprobantes de pago y datos personales de clientes.</x:t>
        </x:is>
      </x:c>
      <x:c r="F13" s="54" t="inlineStr">
        <x:is>
          <x:t xml:space="preserve">Violación masiva de datos personales. Riesgo legal (Ley 1581). Pérdida de confianza de clientes.</x:t>
        </x:is>
      </x:c>
      <x:c r="G13" s="61" t="inlineStr">
        <x:is>
          <x:t xml:space="preserve">Media</x:t>
        </x:is>
      </x:c>
      <x:c r="H13" s="56" t="inlineStr">
        <x:is>
          <x:t xml:space="preserve">Crítico</x:t>
        </x:is>
      </x:c>
      <x:c r="I13" s="54" t="inlineStr">
        <x:is>
          <x:t xml:space="preserve">Solo contraseña/huella del teléfono.</x:t>
        </x:is>
      </x:c>
      <x:c r="J13" s="54" t="inlineStr">
        <x:is>
          <x:t xml:space="preserve">• Activar cifrado del dispositivo y respaldo en la nube de WhatsApp Business.
• Activar bloqueo remoto y borrado en caso de robo (Find My Device).
• No solicitar fotos de cédula por WhatsApp; usar formulario cifrado.</x:t>
        </x:is>
      </x:c>
      <x:c r="K13" s="46" t="inlineStr">
        <x:is>
          <x:t xml:space="preserve">Operador</x:t>
        </x:is>
      </x:c>
      <x:c r="L13" s="57" t="inlineStr">
        <x:is>
          <x:t xml:space="preserve">Pendiente</x:t>
        </x:is>
      </x:c>
    </x:row>
    <x:row r="14" s="22" customFormat="1" ht="70" customHeight="1">
      <x:c r="A14" s="58" t="inlineStr">
        <x:is>
          <x:t xml:space="preserve">T10</x:t>
        </x:is>
      </x:c>
      <x:c r="B14" s="59" t="inlineStr">
        <x:is>
          <x:t xml:space="preserve">Proceso General del Negocio</x:t>
        </x:is>
      </x:c>
      <x:c r="C14" s="59" t="inlineStr">
        <x:is>
          <x:t xml:space="preserve">Repudiation</x:t>
        </x:is>
      </x:c>
      <x:c r="D14" s="59" t="inlineStr">
        <x:is>
          <x:t xml:space="preserve">Sin registros formales, el negocio no puede demostrar cuántas reservas procesó, cuánto cobró ni a quién atendió en caso de auditoría fiscal o disputa legal.</x:t>
        </x:is>
      </x:c>
      <x:c r="E14" s="59" t="inlineStr">
        <x:is>
          <x:t xml:space="preserve">Inspección de la DIAN o demanda de un cliente. El negocio no tiene comprobantes de venta ni registros de servicios prestados.</x:t>
        </x:is>
      </x:c>
      <x:c r="F14" s="59" t="inlineStr">
        <x:is>
          <x:t xml:space="preserve">Sanciones fiscales, problemas legales, imposibilidad de demostrar ingresos para créditos o crecimiento.</x:t>
        </x:is>
      </x:c>
      <x:c r="G14" s="55" t="inlineStr">
        <x:is>
          <x:t xml:space="preserve">Alta</x:t>
        </x:is>
      </x:c>
      <x:c r="H14" s="60" t="inlineStr">
        <x:is>
          <x:t xml:space="preserve">Alto</x:t>
        </x:is>
      </x:c>
      <x:c r="I14" s="59" t="inlineStr">
        <x:is>
          <x:t xml:space="preserve">Ninguno. No hay facturación electrónica ni registros contables.</x:t>
        </x:is>
      </x:c>
      <x:c r="J14" s="59" t="inlineStr">
        <x:is>
          <x:t xml:space="preserve">• Adoptar facturación electrónica (obligatorio en Colombia para negocios).
• Usar software de contabilidad básico (Siigo, Alegra).
• Emitir recibo de pago a cada cliente al terminar la partida.</x:t>
        </x:is>
      </x:c>
      <x:c r="K14" s="58" t="inlineStr">
        <x:is>
          <x:t xml:space="preserve">Dueño del negocio / Contador</x:t>
        </x:is>
      </x:c>
      <x:c r="L14" s="57" t="inlineStr">
        <x:is>
          <x:t xml:space="preserve">Pendiente</x:t>
        </x:is>
      </x:c>
    </x:row>
  </x:sheetData>
  <x:mergeCells>
    <x:mergeCell ref="A2:L2"/>
    <x:mergeCell ref="A1:L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9.1640625" defaultRowHeight="15"/>
  <x:cols>
    <x:col min="1" max="1" width="9.1640625" style="29" customWidth="1"/>
    <x:col min="3" max="3" width="18.6640625" style="22" customWidth="1"/>
    <x:col min="4" max="4" width="42.33203125" style="22" customWidth="1"/>
    <x:col min="5" max="5" width="37.33203125" style="22" customWidth="1"/>
    <x:col min="6" max="6" width="29.83203125" style="22" customWidth="1"/>
    <x:col min="7" max="7" width="11" style="22" customWidth="1"/>
    <x:col min="8" max="8" width="12.33203125" style="22" customWidth="1"/>
    <x:col min="9" max="9" width="36.33203125" style="22" customWidth="1"/>
    <x:col min="10" max="10" width="51" style="22" customWidth="1"/>
    <x:col min="11" max="11" width="14.33203125" style="22" customWidth="1"/>
    <x:col min="12" max="12" width="10" style="22" customWidth="1"/>
  </x:cols>
  <x:sheetData>
    <x:row r="1" s="29" customFormat="1">
      <x:c r="A1" s="29" t="inlineStr">
        <x:is>
          <x:t xml:space="preserve">ID</x:t>
        </x:is>
      </x:c>
      <x:c r="B1" s="29" t="inlineStr">
        <x:is>
          <x:t xml:space="preserve">Componente / Activo</x:t>
        </x:is>
      </x:c>
      <x:c r="C1" s="29" t="inlineStr">
        <x:is>
          <x:t xml:space="preserve">Tipo STRIDE</x:t>
        </x:is>
      </x:c>
      <x:c r="D1" s="29" t="inlineStr">
        <x:is>
          <x:t xml:space="preserve">Descripción de la Amenaza</x:t>
        </x:is>
      </x:c>
      <x:c r="E1" s="29" t="inlineStr">
        <x:is>
          <x:t xml:space="preserve">Escenario de Ataque</x:t>
        </x:is>
      </x:c>
      <x:c r="F1" s="29" t="inlineStr">
        <x:is>
          <x:t xml:space="preserve">Impacto</x:t>
        </x:is>
      </x:c>
      <x:c r="G1" s="29" t="inlineStr">
        <x:is>
          <x:t xml:space="preserve">Probabilidad</x:t>
        </x:is>
      </x:c>
      <x:c r="H1" s="29" t="inlineStr">
        <x:is>
          <x:t xml:space="preserve">Nivel de Riesgo</x:t>
        </x:is>
      </x:c>
      <x:c r="I1" s="29" t="inlineStr">
        <x:is>
          <x:t xml:space="preserve">Controles de Seguridad Existentes</x:t>
        </x:is>
      </x:c>
      <x:c r="J1" s="29" t="inlineStr">
        <x:is>
          <x:t xml:space="preserve">Mitigación Recomendada</x:t>
        </x:is>
      </x:c>
      <x:c r="K1" s="29" t="inlineStr">
        <x:is>
          <x:t xml:space="preserve">Responsable</x:t>
        </x:is>
      </x:c>
      <x:c r="L1" s="29" t="inlineStr">
        <x:is>
          <x:t xml:space="preserve">Estado</x:t>
        </x:is>
      </x:c>
    </x:row>
    <x:row r="2">
      <x:c r="A2" s="29" t="inlineStr">
        <x:is>
          <x:t xml:space="preserve">T1</x:t>
        </x:is>
      </x:c>
      <x:c r="B2" t="inlineStr">
        <x:is>
          <x:t xml:space="preserve">API de Autenticación</x:t>
        </x:is>
      </x:c>
      <x:c r="C2" t="inlineStr">
        <x:is>
          <x:t xml:space="preserve">Spoofing</x:t>
        </x:is>
      </x:c>
      <x:c r="D2" t="inlineStr">
        <x:is>
          <x:t xml:space="preserve">Un atacante suplanta la identidad de un usuario</x:t>
        </x:is>
      </x:c>
      <x:c r="E2" t="inlineStr">
        <x:is>
          <x:t xml:space="preserve">Uso de credenciales robadas para autenticarse</x:t>
        </x:is>
      </x:c>
      <x:c r="F2" t="inlineStr">
        <x:is>
          <x:t xml:space="preserve">Acceso no autorizado a datos</x:t>
        </x:is>
      </x:c>
      <x:c r="G2" t="inlineStr">
        <x:is>
          <x:t xml:space="preserve">Alta</x:t>
        </x:is>
      </x:c>
      <x:c r="H2" t="inlineStr">
        <x:is>
          <x:t xml:space="preserve">Alto</x:t>
        </x:is>
      </x:c>
      <x:c r="I2" t="inlineStr">
        <x:is>
          <x:t xml:space="preserve">Autenticación básica con usuario y contraseña</x:t>
        </x:is>
      </x:c>
      <x:c r="J2" t="inlineStr">
        <x:is>
          <x:t xml:space="preserve">Implementar MFA y detección de anomalías</x:t>
        </x:is>
      </x:c>
      <x:c r="K2" t="inlineStr">
        <x:is>
          <x:t xml:space="preserve">Equipo Seguridad</x:t>
        </x:is>
      </x:c>
      <x:c r="L2" t="inlineStr">
        <x:is>
          <x:t xml:space="preserve">Pendiente</x:t>
        </x:is>
      </x:c>
    </x:row>
    <x:row r="3">
      <x:c r="A3" s="29" t="inlineStr">
        <x:is>
          <x:t xml:space="preserve">T2</x:t>
        </x:is>
      </x:c>
      <x:c r="B3" t="inlineStr">
        <x:is>
          <x:t xml:space="preserve">Base de Datos de Usuarios</x:t>
        </x:is>
      </x:c>
      <x:c r="C3" t="inlineStr">
        <x:is>
          <x:t xml:space="preserve">Tampering</x:t>
        </x:is>
      </x:c>
      <x:c r="D3" t="inlineStr">
        <x:is>
          <x:t xml:space="preserve">Modificación no autorizada de registros</x:t>
        </x:is>
      </x:c>
      <x:c r="E3" t="inlineStr">
        <x:is>
          <x:t xml:space="preserve">Ataque mediante inyección SQL</x:t>
        </x:is>
      </x:c>
      <x:c r="F3" t="inlineStr">
        <x:is>
          <x:t xml:space="preserve">Corrupción de datos críticos</x:t>
        </x:is>
      </x:c>
      <x:c r="G3" t="inlineStr">
        <x:is>
          <x:t xml:space="preserve">Media</x:t>
        </x:is>
      </x:c>
      <x:c r="H3" t="inlineStr">
        <x:is>
          <x:t xml:space="preserve">Alto</x:t>
        </x:is>
      </x:c>
      <x:c r="I3" t="inlineStr">
        <x:is>
          <x:t xml:space="preserve">Validación básica de entradas</x:t>
        </x:is>
      </x:c>
      <x:c r="J3" t="inlineStr">
        <x:is>
          <x:t xml:space="preserve">Usar ORM, prepared statements y WAF</x:t>
        </x:is>
      </x:c>
      <x:c r="K3" t="inlineStr">
        <x:is>
          <x:t xml:space="preserve">Equipo Backend</x:t>
        </x:is>
      </x:c>
      <x:c r="L3" t="inlineStr">
        <x:is>
          <x:t xml:space="preserve">En análisis</x:t>
        </x:is>
      </x:c>
    </x:row>
    <x:row r="4">
      <x:c r="A4" s="29" t="inlineStr">
        <x:is>
          <x:t xml:space="preserve">T3</x:t>
        </x:is>
      </x:c>
      <x:c r="B4" t="inlineStr">
        <x:is>
          <x:t xml:space="preserve">Servicio de Logs</x:t>
        </x:is>
      </x:c>
      <x:c r="C4" t="inlineStr">
        <x:is>
          <x:t xml:space="preserve">Repudiation</x:t>
        </x:is>
      </x:c>
      <x:c r="D4" t="inlineStr">
        <x:is>
          <x:t xml:space="preserve">Un usuario niega haber realizado una acción</x:t>
        </x:is>
      </x:c>
      <x:c r="E4" t="inlineStr">
        <x:is>
          <x:t xml:space="preserve">El sistema no tiene trazabilidad suficiente</x:t>
        </x:is>
      </x:c>
      <x:c r="F4" t="inlineStr">
        <x:is>
          <x:t xml:space="preserve">Dificultad para auditoría</x:t>
        </x:is>
      </x:c>
      <x:c r="G4" t="inlineStr">
        <x:is>
          <x:t xml:space="preserve">Media</x:t>
        </x:is>
      </x:c>
      <x:c r="H4" t="inlineStr">
        <x:is>
          <x:t xml:space="preserve">Medio</x:t>
        </x:is>
      </x:c>
      <x:c r="I4" t="inlineStr">
        <x:is>
          <x:t xml:space="preserve">Logs básicos</x:t>
        </x:is>
      </x:c>
      <x:c r="J4" t="inlineStr">
        <x:is>
          <x:t xml:space="preserve">Implementar logs firmados y auditoría centralizada</x:t>
        </x:is>
      </x:c>
      <x:c r="K4" t="inlineStr">
        <x:is>
          <x:t xml:space="preserve">DevOps</x:t>
        </x:is>
      </x:c>
      <x:c r="L4" t="inlineStr">
        <x:is>
          <x:t xml:space="preserve">Pendiente</x:t>
        </x:is>
      </x:c>
    </x:row>
    <x:row r="5">
      <x:c r="A5" s="29" t="inlineStr">
        <x:is>
          <x:t xml:space="preserve">T4</x:t>
        </x:is>
      </x:c>
      <x:c r="B5" t="inlineStr">
        <x:is>
          <x:t xml:space="preserve">API de Reportes</x:t>
        </x:is>
      </x:c>
      <x:c r="C5" t="inlineStr">
        <x:is>
          <x:t xml:space="preserve">Information Disclosure</x:t>
        </x:is>
      </x:c>
      <x:c r="D5" t="inlineStr">
        <x:is>
          <x:t xml:space="preserve">Exposición accidental de datos sensibles</x:t>
        </x:is>
      </x:c>
      <x:c r="E5" t="inlineStr">
        <x:is>
          <x:t xml:space="preserve">Endpoint devuelve datos completos sin filtrado</x:t>
        </x:is>
      </x:c>
      <x:c r="F5" t="inlineStr">
        <x:is>
          <x:t xml:space="preserve">Filtración de información confidencial</x:t>
        </x:is>
      </x:c>
      <x:c r="G5" t="inlineStr">
        <x:is>
          <x:t xml:space="preserve">Alta</x:t>
        </x:is>
      </x:c>
      <x:c r="H5" t="inlineStr">
        <x:is>
          <x:t xml:space="preserve">Alto</x:t>
        </x:is>
      </x:c>
      <x:c r="I5" t="inlineStr">
        <x:is>
          <x:t xml:space="preserve">Control básico de acceso</x:t>
        </x:is>
      </x:c>
      <x:c r="J5" t="inlineStr">
        <x:is>
          <x:t xml:space="preserve">Implementar control de acceso por rol (RBAC)</x:t>
        </x:is>
      </x:c>
      <x:c r="K5" t="inlineStr">
        <x:is>
          <x:t xml:space="preserve">Arquitectura</x:t>
        </x:is>
      </x:c>
      <x:c r="L5" t="inlineStr">
        <x:is>
          <x:t xml:space="preserve">En progreso</x:t>
        </x:is>
      </x:c>
    </x:row>
    <x:row r="6">
      <x:c r="A6" s="29" t="inlineStr">
        <x:is>
          <x:t xml:space="preserve">T5</x:t>
        </x:is>
      </x:c>
      <x:c r="B6" t="inlineStr">
        <x:is>
          <x:t xml:space="preserve">Gateway de API</x:t>
        </x:is>
      </x:c>
      <x:c r="C6" t="inlineStr">
        <x:is>
          <x:t xml:space="preserve">Denial of Service</x:t>
        </x:is>
      </x:c>
      <x:c r="D6" t="inlineStr">
        <x:is>
          <x:t xml:space="preserve">Sobrecarga del servicio mediante múltiples peticiones</x:t>
        </x:is>
      </x:c>
      <x:c r="E6" t="inlineStr">
        <x:is>
          <x:t xml:space="preserve">Ataque de flooding contra endpoints</x:t>
        </x:is>
      </x:c>
      <x:c r="F6" t="inlineStr">
        <x:is>
          <x:t xml:space="preserve">Indisponibilidad del sistema</x:t>
        </x:is>
      </x:c>
      <x:c r="G6" t="inlineStr">
        <x:is>
          <x:t xml:space="preserve">Alta</x:t>
        </x:is>
      </x:c>
      <x:c r="H6" t="inlineStr">
        <x:is>
          <x:t xml:space="preserve">Alto</x:t>
        </x:is>
      </x:c>
      <x:c r="I6" t="inlineStr">
        <x:is>
          <x:t xml:space="preserve">Rate limiting básico</x:t>
        </x:is>
      </x:c>
      <x:c r="J6" t="inlineStr">
        <x:is>
          <x:t xml:space="preserve">Implementar protección DDoS y autoscaling</x:t>
        </x:is>
      </x:c>
      <x:c r="K6" t="inlineStr">
        <x:is>
          <x:t xml:space="preserve">Infraestructura</x:t>
        </x:is>
      </x:c>
      <x:c r="L6" t="inlineStr">
        <x:is>
          <x:t xml:space="preserve">Pendiente</x:t>
        </x:is>
      </x:c>
    </x:row>
    <x:row r="7">
      <x:c r="A7" s="29" t="inlineStr">
        <x:is>
          <x:t xml:space="preserve">T6</x:t>
        </x:is>
      </x:c>
      <x:c r="B7" t="inlineStr">
        <x:is>
          <x:t xml:space="preserve">Panel de Administración</x:t>
        </x:is>
      </x:c>
      <x:c r="C7" t="inlineStr">
        <x:is>
          <x:t xml:space="preserve">Elevation of Privilege</x:t>
        </x:is>
      </x:c>
      <x:c r="D7" t="inlineStr">
        <x:is>
          <x:t xml:space="preserve">Usuario obtiene privilegios de administrador</x:t>
        </x:is>
      </x:c>
      <x:c r="E7" t="inlineStr">
        <x:is>
          <x:t xml:space="preserve">Manipulación de tokens o sesiones</x:t>
        </x:is>
      </x:c>
      <x:c r="F7" t="inlineStr">
        <x:is>
          <x:t xml:space="preserve">Control total del sistema</x:t>
        </x:is>
      </x:c>
      <x:c r="G7" t="inlineStr">
        <x:is>
          <x:t xml:space="preserve">Media</x:t>
        </x:is>
      </x:c>
      <x:c r="H7" t="inlineStr">
        <x:is>
          <x:t xml:space="preserve">Crítico</x:t>
        </x:is>
      </x:c>
      <x:c r="I7" t="inlineStr">
        <x:is>
          <x:t xml:space="preserve">Roles básicos</x:t>
        </x:is>
      </x:c>
      <x:c r="J7" t="inlineStr">
        <x:is>
          <x:t xml:space="preserve">Implementar control estricto de privilegios y validación de tokens</x:t>
        </x:is>
      </x:c>
      <x:c r="K7" t="inlineStr">
        <x:is>
          <x:t xml:space="preserve">Seguridad</x:t>
        </x:is>
      </x:c>
      <x:c r="L7" t="inlineStr">
        <x:is>
          <x:t xml:space="preserve">Pendiente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004F772D"/>
  </x:sheetPr>
  <x:sheetViews>
    <x:sheetView showGridLines="0" workbookViewId="0"/>
  </x:sheetViews>
  <x:sheetFormatPr baseColWidth="8" defaultRowHeight="15"/>
  <x:cols>
    <x:col min="1" max="1" width="22" style="22" customWidth="1"/>
    <x:col min="2" max="2" width="48" style="22" customWidth="1"/>
    <x:col min="3" max="3" width="58" style="22" customWidth="1"/>
    <x:col min="4" max="4" width="4" style="22" customWidth="1"/>
    <x:col min="5" max="5" width="4" style="22" customWidth="1"/>
    <x:col min="6" max="6" width="4" style="22" customWidth="1"/>
  </x:cols>
  <x:sheetData>
    <x:row r="1" s="22" customFormat="1" ht="34" customHeight="1">
      <x:c r="A1" s="64" t="inlineStr">
        <x:is>
          <x:t xml:space="preserve">🧭 CRITERIOS DE CLASIFICACIÓN — STRIDE Airsoft</x:t>
        </x:is>
      </x:c>
    </x:row>
    <x:row r="2" s="22" customFormat="1" ht="24" customHeight="1">
      <x:c r="A2" s="65" t="inlineStr">
        <x:is>
          <x:t xml:space="preserve">Hoja de apoyo para justificar la clasificación STRIDE y la priorización de riesgos del caso Elite Airsoft.</x:t>
        </x:is>
      </x:c>
    </x:row>
    <x:row r="4" s="22" customFormat="1" ht="22" customHeight="1">
      <x:c r="A4" s="66" t="inlineStr">
        <x:is>
          <x:t xml:space="preserve">1. Categorías STRIDE usadas en la matriz</x:t>
        </x:is>
      </x:c>
    </x:row>
    <x:row r="5" s="22" customFormat="1" ht="22" customHeight="1">
      <x:c r="A5" s="67" t="inlineStr">
        <x:is>
          <x:t xml:space="preserve">Tipo</x:t>
        </x:is>
      </x:c>
      <x:c r="B5" s="67" t="inlineStr">
        <x:is>
          <x:t xml:space="preserve">Definición breve</x:t>
        </x:is>
      </x:c>
      <x:c r="C5" s="67" t="inlineStr">
        <x:is>
          <x:t xml:space="preserve">Ejemplo aplicado a Elite Airsoft</x:t>
        </x:is>
      </x:c>
    </x:row>
    <x:row r="6" s="22" customFormat="1" ht="34" customHeight="1">
      <x:c r="A6" s="68" t="inlineStr">
        <x:is>
          <x:t xml:space="preserve">Spoofing</x:t>
        </x:is>
      </x:c>
      <x:c r="B6" s="68" t="inlineStr">
        <x:is>
          <x:t xml:space="preserve">Suplantación de identidad del canal o del negocio.</x:t>
        </x:is>
      </x:c>
      <x:c r="C6" s="68" t="inlineStr">
        <x:is>
          <x:t xml:space="preserve">Número de WhatsApp o perfil social falso que capta pagos.</x:t>
        </x:is>
      </x:c>
    </x:row>
    <x:row r="7" s="22" customFormat="1" ht="34" customHeight="1">
      <x:c r="A7" s="69" t="inlineStr">
        <x:is>
          <x:t xml:space="preserve">Tampering</x:t>
        </x:is>
      </x:c>
      <x:c r="B7" s="69" t="inlineStr">
        <x:is>
          <x:t xml:space="preserve">Alteración no autorizada de información o evidencias.</x:t>
        </x:is>
      </x:c>
      <x:c r="C7" s="69" t="inlineStr">
        <x:is>
          <x:t xml:space="preserve">Comprobante Nequi editado o respuestas del consentimiento modificadas.</x:t>
        </x:is>
      </x:c>
    </x:row>
    <x:row r="8" s="22" customFormat="1" ht="34" customHeight="1">
      <x:c r="A8" s="68" t="inlineStr">
        <x:is>
          <x:t xml:space="preserve">Repudiation</x:t>
        </x:is>
      </x:c>
      <x:c r="B8" s="68" t="inlineStr">
        <x:is>
          <x:t xml:space="preserve">Imposibilidad de demostrar quién hizo qué o cuándo.</x:t>
        </x:is>
      </x:c>
      <x:c r="C8" s="68" t="inlineStr">
        <x:is>
          <x:t xml:space="preserve">Cliente niega reserva/pago y el negocio no conserva trazabilidad suficiente.</x:t>
        </x:is>
      </x:c>
    </x:row>
    <x:row r="9" s="22" customFormat="1" ht="34" customHeight="1">
      <x:c r="A9" s="69" t="inlineStr">
        <x:is>
          <x:t xml:space="preserve">Information Disclosure</x:t>
        </x:is>
      </x:c>
      <x:c r="B9" s="69" t="inlineStr">
        <x:is>
          <x:t xml:space="preserve">Exposición de datos personales o sensibles.</x:t>
        </x:is>
      </x:c>
      <x:c r="C9" s="69" t="inlineStr">
        <x:is>
          <x:t xml:space="preserve">Hoja de respuestas o celular del operador con datos de clientes expuestos.</x:t>
        </x:is>
      </x:c>
    </x:row>
    <x:row r="10" s="22" customFormat="1" ht="34" customHeight="1">
      <x:c r="A10" s="68" t="inlineStr">
        <x:is>
          <x:t xml:space="preserve">Denial of Service</x:t>
        </x:is>
      </x:c>
      <x:c r="B10" s="68" t="inlineStr">
        <x:is>
          <x:t xml:space="preserve">Interrupción del servicio o del flujo operativo.</x:t>
        </x:is>
      </x:c>
      <x:c r="C10" s="68" t="inlineStr">
        <x:is>
          <x:t xml:space="preserve">El negocio se detiene si el único operador no responde.</x:t>
        </x:is>
      </x:c>
    </x:row>
    <x:row r="11" s="22" customFormat="1" ht="34" customHeight="1">
      <x:c r="A11" s="69" t="inlineStr">
        <x:is>
          <x:t xml:space="preserve">Elevation of Privilege</x:t>
        </x:is>
      </x:c>
      <x:c r="B11" s="69" t="inlineStr">
        <x:is>
          <x:t xml:space="preserve">Obtención de capacidades o accesos mayores a los permitidos.</x:t>
        </x:is>
      </x:c>
      <x:c r="C11" s="69" t="inlineStr">
        <x:is>
          <x:t xml:space="preserve">Tercero usa el celular/cuenta de pagos del operador para mover fondos.</x:t>
        </x:is>
      </x:c>
    </x:row>
    <x:row r="14" s="22" customFormat="1" ht="22" customHeight="1">
      <x:c r="A14" s="66" t="inlineStr">
        <x:is>
          <x:t xml:space="preserve">2. Criterios cualitativos de probabilidad</x:t>
        </x:is>
      </x:c>
    </x:row>
    <x:row r="15" s="22" customFormat="1" ht="22" customHeight="1">
      <x:c r="A15" s="70" t="inlineStr">
        <x:is>
          <x:t xml:space="preserve">Nivel</x:t>
        </x:is>
      </x:c>
      <x:c r="B15" s="70" t="inlineStr">
        <x:is>
          <x:t xml:space="preserve">Criterio</x:t>
        </x:is>
      </x:c>
      <x:c r="C15" s="70" t="inlineStr">
        <x:is>
          <x:t xml:space="preserve">Señal práctica</x:t>
        </x:is>
      </x:c>
    </x:row>
    <x:row r="16" s="22" customFormat="1" ht="34" customHeight="1">
      <x:c r="A16" s="68" t="inlineStr">
        <x:is>
          <x:t xml:space="preserve">Alta</x:t>
        </x:is>
      </x:c>
      <x:c r="B16" s="68" t="inlineStr">
        <x:is>
          <x:t xml:space="preserve">El escenario puede materializarse con frecuencia o con muy poca fricción.</x:t>
        </x:is>
      </x:c>
      <x:c r="C16" s="68" t="inlineStr">
        <x:is>
          <x:t xml:space="preserve">Canales públicos, dependencia manual, ausencia de verificación o respaldo.</x:t>
        </x:is>
      </x:c>
    </x:row>
    <x:row r="17" s="22" customFormat="1" ht="34" customHeight="1">
      <x:c r="A17" s="69" t="inlineStr">
        <x:is>
          <x:t xml:space="preserve">Media</x:t>
        </x:is>
      </x:c>
      <x:c r="B17" s="69" t="inlineStr">
        <x:is>
          <x:t xml:space="preserve">El evento requiere alguna condición adicional, pero sigue siendo plausible.</x:t>
        </x:is>
      </x:c>
      <x:c r="C17" s="69" t="inlineStr">
        <x:is>
          <x:t xml:space="preserve">Hay controles parciales o el atacante necesita acceso previo.</x:t>
        </x:is>
      </x:c>
    </x:row>
    <x:row r="18" s="22" customFormat="1" ht="34" customHeight="1">
      <x:c r="A18" s="68" t="inlineStr">
        <x:is>
          <x:t xml:space="preserve">Baja</x:t>
        </x:is>
      </x:c>
      <x:c r="B18" s="68" t="inlineStr">
        <x:is>
          <x:t xml:space="preserve">El escenario existe, pero requiere condiciones menos probables o mayor esfuerzo.</x:t>
        </x:is>
      </x:c>
      <x:c r="C18" s="68" t="inlineStr">
        <x:is>
          <x:t xml:space="preserve">Existe algún rastro, historial o control compensatorio que reduce la ocurrencia.</x:t>
        </x:is>
      </x:c>
    </x:row>
    <x:row r="21" s="22" customFormat="1" ht="22" customHeight="1">
      <x:c r="A21" s="66" t="inlineStr">
        <x:is>
          <x:t xml:space="preserve">3. Lectura del nivel de riesgo y prioridad de tratamiento</x:t>
        </x:is>
      </x:c>
    </x:row>
    <x:row r="22" s="22" customFormat="1" ht="22" customHeight="1">
      <x:c r="A22" s="70" t="inlineStr">
        <x:is>
          <x:t xml:space="preserve">Nivel de riesgo</x:t>
        </x:is>
      </x:c>
      <x:c r="B22" s="70" t="inlineStr">
        <x:is>
          <x:t xml:space="preserve">Interpretación</x:t>
        </x:is>
      </x:c>
      <x:c r="C22" s="70" t="inlineStr">
        <x:is>
          <x:t xml:space="preserve">Plazo sugerido</x:t>
        </x:is>
      </x:c>
    </x:row>
    <x:row r="23" s="22" customFormat="1" ht="28" customHeight="1">
      <x:c r="A23" s="68" t="inlineStr">
        <x:is>
          <x:t xml:space="preserve">Crítico</x:t>
        </x:is>
      </x:c>
      <x:c r="B23" s="68" t="inlineStr">
        <x:is>
          <x:t xml:space="preserve">Compromete continuidad operativa, datos personales o dinero del negocio/clientes.</x:t>
        </x:is>
      </x:c>
      <x:c r="C23" s="68" t="inlineStr">
        <x:is>
          <x:t xml:space="preserve">Inmediato (0–30 días)</x:t>
        </x:is>
      </x:c>
    </x:row>
    <x:row r="24" s="22" customFormat="1" ht="28" customHeight="1">
      <x:c r="A24" s="69" t="inlineStr">
        <x:is>
          <x:t xml:space="preserve">Alto</x:t>
        </x:is>
      </x:c>
      <x:c r="B24" s="69" t="inlineStr">
        <x:is>
          <x:t xml:space="preserve">Genera impacto relevante y requiere plan de control de corto plazo.</x:t>
        </x:is>
      </x:c>
      <x:c r="C24" s="69" t="inlineStr">
        <x:is>
          <x:t xml:space="preserve">Corto plazo (30–60 días)</x:t>
        </x:is>
      </x:c>
    </x:row>
    <x:row r="25" s="22" customFormat="1" ht="28" customHeight="1">
      <x:c r="A25" s="68" t="inlineStr">
        <x:is>
          <x:t xml:space="preserve">Medio</x:t>
        </x:is>
      </x:c>
      <x:c r="B25" s="68" t="inlineStr">
        <x:is>
          <x:t xml:space="preserve">Necesita tratamiento, pero puede calendarizarse con seguimiento.</x:t>
        </x:is>
      </x:c>
      <x:c r="C25" s="68" t="inlineStr">
        <x:is>
          <x:t xml:space="preserve">Mediano plazo (60–90 días)</x:t>
        </x:is>
      </x:c>
    </x:row>
    <x:row r="26" s="22" customFormat="1" ht="28" customHeight="1">
      <x:c r="A26" s="69" t="inlineStr">
        <x:is>
          <x:t xml:space="preserve">Bajo</x:t>
        </x:is>
      </x:c>
      <x:c r="B26" s="69" t="inlineStr">
        <x:is>
          <x:t xml:space="preserve">Debe monitorearse y documentarse, con menor urgencia.</x:t>
        </x:is>
      </x:c>
      <x:c r="C26" s="69" t="inlineStr">
        <x:is>
          <x:t xml:space="preserve">Seguimiento periódico</x:t>
        </x:is>
      </x:c>
    </x:row>
    <x:row r="29" s="22" customFormat="1" ht="28" customHeight="1">
      <x:c r="A29" s="71" t="inlineStr">
        <x:is>
          <x:t xml:space="preserve">Nota metodológica: algunas amenazas pueden tocar más de una categoría STRIDE; en la matriz principal se asignó la categoría dominante para simplificar la lectura ejecutiva.</x:t>
        </x:is>
      </x:c>
    </x:row>
  </x:sheetData>
  <x:mergeCells>
    <x:mergeCell ref="A2:F2"/>
    <x:mergeCell ref="A14:F14"/>
    <x:mergeCell ref="A1:F1"/>
    <x:mergeCell ref="A4:F4"/>
    <x:mergeCell ref="A21:F21"/>
    <x:mergeCell ref="A29:F29"/>
  </x:mergeCells>
  <x:pageMargins left="0.7" right="0.7" top="0.75" bottom="0.75" header="0.3" footer="0.3"/>
</x:worksheet>
</file>